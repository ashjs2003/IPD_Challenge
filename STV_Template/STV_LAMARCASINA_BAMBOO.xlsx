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294B8E-1A43-4C26-8B5C-E188E7EE852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nstruction and Materials" sheetId="1" r:id="rId1"/>
    <sheet name="Use Phase" sheetId="2" r:id="rId2"/>
    <sheet name="Results" sheetId="3" r:id="rId3"/>
    <sheet name="Cogen Data" sheetId="4" r:id="rId4"/>
    <sheet name="LCA Data" sheetId="5" r:id="rId5"/>
    <sheet name="Lists" sheetId="6" r:id="rId6"/>
  </sheets>
  <definedNames>
    <definedName name="Assemblies">Lists!$A$2:$A$9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F20" i="2"/>
  <c r="G36" i="1"/>
  <c r="G37" i="1"/>
  <c r="CJ44" i="6" l="1"/>
  <c r="CI44" i="6"/>
  <c r="CF44" i="6"/>
  <c r="CD44" i="6"/>
  <c r="CC44" i="6"/>
  <c r="CB44" i="6"/>
  <c r="CA44" i="6"/>
  <c r="BZ44" i="6"/>
  <c r="BY44" i="6"/>
  <c r="BX44" i="6"/>
  <c r="BW44" i="6"/>
  <c r="BV44" i="6"/>
  <c r="BU44" i="6"/>
  <c r="BT44" i="6"/>
  <c r="BQ44" i="6"/>
  <c r="BO44" i="6"/>
  <c r="BL44" i="6"/>
  <c r="BJ44" i="6"/>
  <c r="BI44" i="6"/>
  <c r="BH44" i="6"/>
  <c r="BG44" i="6"/>
  <c r="BF44" i="6"/>
  <c r="BE44" i="6"/>
  <c r="BD44" i="6"/>
  <c r="BC44" i="6"/>
  <c r="BB44" i="6"/>
  <c r="BA44" i="6"/>
  <c r="AZ44" i="6"/>
  <c r="AY44" i="6"/>
  <c r="AX44" i="6"/>
  <c r="AW44" i="6"/>
  <c r="AR44" i="6"/>
  <c r="AO44" i="6"/>
  <c r="AN44" i="6"/>
  <c r="AM44" i="6"/>
  <c r="AI44" i="6"/>
  <c r="AG44" i="6"/>
  <c r="AF44" i="6"/>
  <c r="AE44" i="6"/>
  <c r="AH44" i="6" s="1"/>
  <c r="AD44" i="6"/>
  <c r="AC44" i="6"/>
  <c r="AB44" i="6"/>
  <c r="AA44" i="6"/>
  <c r="Y44" i="6"/>
  <c r="R44" i="6"/>
  <c r="Q44" i="6"/>
  <c r="P44" i="6"/>
  <c r="CG43" i="6"/>
  <c r="CF43" i="6"/>
  <c r="CE43" i="6"/>
  <c r="CD43" i="6"/>
  <c r="CC43" i="6"/>
  <c r="CB43" i="6"/>
  <c r="CA43" i="6"/>
  <c r="BZ43" i="6"/>
  <c r="BW43" i="6"/>
  <c r="BU43" i="6"/>
  <c r="BT43" i="6"/>
  <c r="BS43" i="6"/>
  <c r="BK43" i="6"/>
  <c r="BI43" i="6"/>
  <c r="BH43" i="6"/>
  <c r="BG43" i="6"/>
  <c r="BF43" i="6"/>
  <c r="AY43" i="6"/>
  <c r="AX43" i="6"/>
  <c r="AW43" i="6"/>
  <c r="AV43" i="6"/>
  <c r="AS43" i="6"/>
  <c r="AP43" i="6"/>
  <c r="AO43" i="6"/>
  <c r="AN43" i="6"/>
  <c r="AE43" i="6"/>
  <c r="AC43" i="6"/>
  <c r="AB43" i="6"/>
  <c r="AA43" i="6"/>
  <c r="AD43" i="6" s="1"/>
  <c r="Y43" i="6"/>
  <c r="X43" i="6"/>
  <c r="W43" i="6"/>
  <c r="T43" i="6"/>
  <c r="R43" i="6"/>
  <c r="AI43" i="6" s="1"/>
  <c r="Q43" i="6"/>
  <c r="CH43" i="6" s="1"/>
  <c r="P43" i="6"/>
  <c r="CH42" i="6"/>
  <c r="CF42" i="6"/>
  <c r="CE42" i="6"/>
  <c r="CD42" i="6"/>
  <c r="BZ42" i="6"/>
  <c r="BX42" i="6"/>
  <c r="BW42" i="6"/>
  <c r="BV42" i="6"/>
  <c r="BU42" i="6"/>
  <c r="BR42" i="6"/>
  <c r="BL42" i="6"/>
  <c r="BK42" i="6"/>
  <c r="BJ42" i="6"/>
  <c r="BI42" i="6"/>
  <c r="BH42" i="6"/>
  <c r="BG42" i="6"/>
  <c r="BF42" i="6"/>
  <c r="BE42" i="6"/>
  <c r="BD42" i="6"/>
  <c r="BC42" i="6"/>
  <c r="AY42" i="6"/>
  <c r="AR42" i="6"/>
  <c r="AP42" i="6"/>
  <c r="AO42" i="6"/>
  <c r="AN42" i="6"/>
  <c r="AM42" i="6"/>
  <c r="AI42" i="6"/>
  <c r="AG42" i="6"/>
  <c r="AF42" i="6"/>
  <c r="AE42" i="6"/>
  <c r="AH42" i="6" s="1"/>
  <c r="AC42" i="6"/>
  <c r="AB42" i="6"/>
  <c r="AA42" i="6"/>
  <c r="AD42" i="6" s="1"/>
  <c r="R42" i="6"/>
  <c r="Q42" i="6"/>
  <c r="P42" i="6"/>
  <c r="CJ41" i="6"/>
  <c r="CI41" i="6"/>
  <c r="CH41" i="6"/>
  <c r="CG41" i="6"/>
  <c r="CF41" i="6"/>
  <c r="CE41" i="6"/>
  <c r="CD41" i="6"/>
  <c r="CC41" i="6"/>
  <c r="CB41" i="6"/>
  <c r="BY41" i="6"/>
  <c r="BW41" i="6"/>
  <c r="BV41" i="6"/>
  <c r="BU41" i="6"/>
  <c r="BT41" i="6"/>
  <c r="BS41" i="6"/>
  <c r="BR41" i="6"/>
  <c r="BQ41" i="6"/>
  <c r="BP41" i="6"/>
  <c r="BO41" i="6"/>
  <c r="BN41" i="6"/>
  <c r="BM41" i="6"/>
  <c r="BL41" i="6"/>
  <c r="BK41" i="6"/>
  <c r="BJ41" i="6"/>
  <c r="BI41" i="6"/>
  <c r="BH41" i="6"/>
  <c r="BE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I41" i="6"/>
  <c r="AG41" i="6"/>
  <c r="AF41" i="6"/>
  <c r="AE41" i="6"/>
  <c r="AC41" i="6"/>
  <c r="AB41" i="6"/>
  <c r="AA41" i="6"/>
  <c r="AD41" i="6" s="1"/>
  <c r="Y41" i="6"/>
  <c r="X41" i="6"/>
  <c r="W41" i="6"/>
  <c r="U41" i="6"/>
  <c r="T41" i="6"/>
  <c r="S41" i="6"/>
  <c r="V41" i="6" s="1"/>
  <c r="AL41" i="6" s="1"/>
  <c r="R41" i="6"/>
  <c r="Q41" i="6"/>
  <c r="CA41" i="6" s="1"/>
  <c r="P41" i="6"/>
  <c r="BZ41" i="6" s="1"/>
  <c r="CJ40" i="6"/>
  <c r="CH40" i="6"/>
  <c r="CG40" i="6"/>
  <c r="CF40" i="6"/>
  <c r="CE40" i="6"/>
  <c r="CD40" i="6"/>
  <c r="CC40" i="6"/>
  <c r="CB40" i="6"/>
  <c r="CA40" i="6"/>
  <c r="BY40" i="6"/>
  <c r="BX40" i="6"/>
  <c r="BP40" i="6"/>
  <c r="BN40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Y40" i="6"/>
  <c r="AV40" i="6"/>
  <c r="AP40" i="6"/>
  <c r="AO40" i="6"/>
  <c r="AN40" i="6"/>
  <c r="AM40" i="6"/>
  <c r="AI40" i="6"/>
  <c r="AG40" i="6"/>
  <c r="AF40" i="6"/>
  <c r="AE40" i="6"/>
  <c r="AH40" i="6" s="1"/>
  <c r="AC40" i="6"/>
  <c r="W40" i="6"/>
  <c r="T40" i="6"/>
  <c r="S40" i="6"/>
  <c r="R40" i="6"/>
  <c r="Q40" i="6"/>
  <c r="BS40" i="6" s="1"/>
  <c r="P40" i="6"/>
  <c r="BZ40" i="6" s="1"/>
  <c r="CJ39" i="6"/>
  <c r="CH39" i="6"/>
  <c r="CG39" i="6"/>
  <c r="CF39" i="6"/>
  <c r="CE39" i="6"/>
  <c r="CD39" i="6"/>
  <c r="CA39" i="6"/>
  <c r="BY39" i="6"/>
  <c r="BT39" i="6"/>
  <c r="BQ39" i="6"/>
  <c r="BP39" i="6"/>
  <c r="BO39" i="6"/>
  <c r="AZ39" i="6"/>
  <c r="AX39" i="6"/>
  <c r="AW39" i="6"/>
  <c r="AU39" i="6"/>
  <c r="AT39" i="6"/>
  <c r="AP39" i="6"/>
  <c r="AI39" i="6"/>
  <c r="AG39" i="6"/>
  <c r="AE39" i="6"/>
  <c r="AC39" i="6"/>
  <c r="AB39" i="6"/>
  <c r="AA39" i="6"/>
  <c r="R39" i="6"/>
  <c r="Q39" i="6"/>
  <c r="BE39" i="6" s="1"/>
  <c r="P39" i="6"/>
  <c r="BZ39" i="6" s="1"/>
  <c r="CJ38" i="6"/>
  <c r="CB38" i="6"/>
  <c r="CA38" i="6"/>
  <c r="BY38" i="6"/>
  <c r="BX38" i="6"/>
  <c r="BV38" i="6"/>
  <c r="BU38" i="6"/>
  <c r="BR38" i="6"/>
  <c r="BP38" i="6"/>
  <c r="BO38" i="6"/>
  <c r="BN38" i="6"/>
  <c r="BM38" i="6"/>
  <c r="BL38" i="6"/>
  <c r="BK38" i="6"/>
  <c r="BJ38" i="6"/>
  <c r="BF38" i="6"/>
  <c r="BD38" i="6"/>
  <c r="BB38" i="6"/>
  <c r="AT38" i="6"/>
  <c r="AS38" i="6"/>
  <c r="AR38" i="6"/>
  <c r="AQ38" i="6"/>
  <c r="AP38" i="6"/>
  <c r="AO38" i="6"/>
  <c r="AN38" i="6"/>
  <c r="AM38" i="6"/>
  <c r="AI38" i="6"/>
  <c r="AE38" i="6"/>
  <c r="Y38" i="6"/>
  <c r="W38" i="6"/>
  <c r="U38" i="6"/>
  <c r="T38" i="6"/>
  <c r="S38" i="6"/>
  <c r="V38" i="6" s="1"/>
  <c r="AL38" i="6" s="1"/>
  <c r="R38" i="6"/>
  <c r="Q38" i="6"/>
  <c r="CC38" i="6" s="1"/>
  <c r="P38" i="6"/>
  <c r="BZ38" i="6" s="1"/>
  <c r="AI37" i="6"/>
  <c r="R37" i="6"/>
  <c r="Q37" i="6"/>
  <c r="P37" i="6"/>
  <c r="CJ36" i="6"/>
  <c r="CI36" i="6"/>
  <c r="CH36" i="6"/>
  <c r="CG36" i="6"/>
  <c r="CF36" i="6"/>
  <c r="CE36" i="6"/>
  <c r="CD36" i="6"/>
  <c r="CC36" i="6"/>
  <c r="CA36" i="6"/>
  <c r="BX36" i="6"/>
  <c r="BW36" i="6"/>
  <c r="BR36" i="6"/>
  <c r="BP36" i="6"/>
  <c r="BO36" i="6"/>
  <c r="BN36" i="6"/>
  <c r="BM36" i="6"/>
  <c r="BL36" i="6"/>
  <c r="BK36" i="6"/>
  <c r="BJ36" i="6"/>
  <c r="BI36" i="6"/>
  <c r="BH36" i="6"/>
  <c r="BG36" i="6"/>
  <c r="BF36" i="6"/>
  <c r="BD36" i="6"/>
  <c r="BC36" i="6"/>
  <c r="AX36" i="6"/>
  <c r="AW36" i="6"/>
  <c r="AV36" i="6"/>
  <c r="AU36" i="6"/>
  <c r="AS36" i="6"/>
  <c r="AQ36" i="6"/>
  <c r="AP36" i="6"/>
  <c r="AO36" i="6"/>
  <c r="AN36" i="6"/>
  <c r="AM36" i="6"/>
  <c r="AI36" i="6"/>
  <c r="AG36" i="6"/>
  <c r="AB36" i="6"/>
  <c r="AA36" i="6"/>
  <c r="Y36" i="6"/>
  <c r="X36" i="6"/>
  <c r="W36" i="6"/>
  <c r="U36" i="6"/>
  <c r="T36" i="6"/>
  <c r="R36" i="6"/>
  <c r="Q36" i="6"/>
  <c r="P36" i="6"/>
  <c r="BZ36" i="6" s="1"/>
  <c r="CI35" i="6"/>
  <c r="CH35" i="6"/>
  <c r="CE35" i="6"/>
  <c r="CC35" i="6"/>
  <c r="BW35" i="6"/>
  <c r="BU35" i="6"/>
  <c r="BT35" i="6"/>
  <c r="BS35" i="6"/>
  <c r="BR35" i="6"/>
  <c r="BC35" i="6"/>
  <c r="BB35" i="6"/>
  <c r="AZ35" i="6"/>
  <c r="AY35" i="6"/>
  <c r="AX35" i="6"/>
  <c r="AT35" i="6"/>
  <c r="AO35" i="6"/>
  <c r="AN35" i="6"/>
  <c r="AF35" i="6"/>
  <c r="AC35" i="6"/>
  <c r="AA35" i="6"/>
  <c r="R35" i="6"/>
  <c r="AI35" i="6" s="1"/>
  <c r="Q35" i="6"/>
  <c r="P35" i="6"/>
  <c r="BZ35" i="6" s="1"/>
  <c r="CD34" i="6"/>
  <c r="CA34" i="6"/>
  <c r="BY34" i="6"/>
  <c r="BV34" i="6"/>
  <c r="BT34" i="6"/>
  <c r="BS34" i="6"/>
  <c r="BR34" i="6"/>
  <c r="BQ34" i="6"/>
  <c r="BP34" i="6"/>
  <c r="BO34" i="6"/>
  <c r="BN34" i="6"/>
  <c r="BM34" i="6"/>
  <c r="BL34" i="6"/>
  <c r="BK34" i="6"/>
  <c r="BJ34" i="6"/>
  <c r="BI34" i="6"/>
  <c r="BB34" i="6"/>
  <c r="AU34" i="6"/>
  <c r="AT34" i="6"/>
  <c r="AS34" i="6"/>
  <c r="AR34" i="6"/>
  <c r="AQ34" i="6"/>
  <c r="AP34" i="6"/>
  <c r="AO34" i="6"/>
  <c r="AN34" i="6"/>
  <c r="AM34" i="6"/>
  <c r="AI34" i="6"/>
  <c r="AF34" i="6"/>
  <c r="Y34" i="6"/>
  <c r="W34" i="6"/>
  <c r="U34" i="6"/>
  <c r="T34" i="6"/>
  <c r="R34" i="6"/>
  <c r="Q34" i="6"/>
  <c r="P34" i="6"/>
  <c r="BZ34" i="6" s="1"/>
  <c r="CJ33" i="6"/>
  <c r="CG33" i="6"/>
  <c r="CE33" i="6"/>
  <c r="CD33" i="6"/>
  <c r="CC33" i="6"/>
  <c r="CA33" i="6"/>
  <c r="BU33" i="6"/>
  <c r="BS33" i="6"/>
  <c r="BR33" i="6"/>
  <c r="BQ33" i="6"/>
  <c r="BP33" i="6"/>
  <c r="BM33" i="6"/>
  <c r="BK33" i="6"/>
  <c r="BJ33" i="6"/>
  <c r="BI33" i="6"/>
  <c r="BH33" i="6"/>
  <c r="BG33" i="6"/>
  <c r="BF33" i="6"/>
  <c r="BD33" i="6"/>
  <c r="BC33" i="6"/>
  <c r="BA33" i="6"/>
  <c r="AZ33" i="6"/>
  <c r="AV33" i="6"/>
  <c r="AQ33" i="6"/>
  <c r="AP33" i="6"/>
  <c r="AO33" i="6"/>
  <c r="AN33" i="6"/>
  <c r="AM33" i="6"/>
  <c r="AI33" i="6"/>
  <c r="AG33" i="6"/>
  <c r="AE33" i="6"/>
  <c r="AB33" i="6"/>
  <c r="AA33" i="6"/>
  <c r="W33" i="6"/>
  <c r="R33" i="6"/>
  <c r="Q33" i="6"/>
  <c r="P33" i="6"/>
  <c r="BZ33" i="6" s="1"/>
  <c r="CJ32" i="6"/>
  <c r="CI32" i="6"/>
  <c r="CH32" i="6"/>
  <c r="CG32" i="6"/>
  <c r="CF32" i="6"/>
  <c r="CE32" i="6"/>
  <c r="CC32" i="6"/>
  <c r="CB32" i="6"/>
  <c r="BX32" i="6"/>
  <c r="BV32" i="6"/>
  <c r="BU32" i="6"/>
  <c r="BT32" i="6"/>
  <c r="BS32" i="6"/>
  <c r="BR32" i="6"/>
  <c r="BP32" i="6"/>
  <c r="BO32" i="6"/>
  <c r="BN32" i="6"/>
  <c r="BM32" i="6"/>
  <c r="BL32" i="6"/>
  <c r="BK32" i="6"/>
  <c r="BJ32" i="6"/>
  <c r="BI32" i="6"/>
  <c r="BH32" i="6"/>
  <c r="BD32" i="6"/>
  <c r="BB32" i="6"/>
  <c r="AZ32" i="6"/>
  <c r="AY32" i="6"/>
  <c r="AX32" i="6"/>
  <c r="AW32" i="6"/>
  <c r="AV32" i="6"/>
  <c r="AU32" i="6"/>
  <c r="AT32" i="6"/>
  <c r="AS32" i="6"/>
  <c r="AQ32" i="6"/>
  <c r="AP32" i="6"/>
  <c r="AO32" i="6"/>
  <c r="AN32" i="6"/>
  <c r="AM32" i="6"/>
  <c r="AF32" i="6"/>
  <c r="AC32" i="6"/>
  <c r="AA32" i="6"/>
  <c r="Y32" i="6"/>
  <c r="X32" i="6"/>
  <c r="W32" i="6"/>
  <c r="Z32" i="6" s="1"/>
  <c r="U32" i="6"/>
  <c r="T32" i="6"/>
  <c r="S32" i="6"/>
  <c r="R32" i="6"/>
  <c r="AI32" i="6" s="1"/>
  <c r="Q32" i="6"/>
  <c r="P32" i="6"/>
  <c r="BZ32" i="6" s="1"/>
  <c r="CB31" i="6"/>
  <c r="BY31" i="6"/>
  <c r="BX31" i="6"/>
  <c r="BW31" i="6"/>
  <c r="BV31" i="6"/>
  <c r="BU31" i="6"/>
  <c r="BT31" i="6"/>
  <c r="BS31" i="6"/>
  <c r="BR31" i="6"/>
  <c r="BO31" i="6"/>
  <c r="BM31" i="6"/>
  <c r="BL31" i="6"/>
  <c r="BH31" i="6"/>
  <c r="BE31" i="6"/>
  <c r="BC31" i="6"/>
  <c r="BB31" i="6"/>
  <c r="AX31" i="6"/>
  <c r="AU31" i="6"/>
  <c r="AS31" i="6"/>
  <c r="AR31" i="6"/>
  <c r="AQ31" i="6"/>
  <c r="AP31" i="6"/>
  <c r="AO31" i="6"/>
  <c r="AN31" i="6"/>
  <c r="AM31" i="6"/>
  <c r="AF31" i="6"/>
  <c r="AC31" i="6"/>
  <c r="AB31" i="6"/>
  <c r="Y31" i="6"/>
  <c r="W31" i="6"/>
  <c r="U31" i="6"/>
  <c r="T31" i="6"/>
  <c r="R31" i="6"/>
  <c r="AI31" i="6" s="1"/>
  <c r="Q31" i="6"/>
  <c r="P31" i="6"/>
  <c r="BZ31" i="6" s="1"/>
  <c r="CJ30" i="6"/>
  <c r="CI30" i="6"/>
  <c r="CH30" i="6"/>
  <c r="CG30" i="6"/>
  <c r="CF30" i="6"/>
  <c r="CE30" i="6"/>
  <c r="CD30" i="6"/>
  <c r="CC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F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G30" i="6"/>
  <c r="AF30" i="6"/>
  <c r="AH30" i="6" s="1"/>
  <c r="AE30" i="6"/>
  <c r="AC30" i="6"/>
  <c r="AB30" i="6"/>
  <c r="AA30" i="6"/>
  <c r="AD30" i="6" s="1"/>
  <c r="Y30" i="6"/>
  <c r="X30" i="6"/>
  <c r="W30" i="6"/>
  <c r="Z30" i="6" s="1"/>
  <c r="U30" i="6"/>
  <c r="T30" i="6"/>
  <c r="S30" i="6"/>
  <c r="R30" i="6"/>
  <c r="AI30" i="6" s="1"/>
  <c r="Q30" i="6"/>
  <c r="CB30" i="6" s="1"/>
  <c r="P30" i="6"/>
  <c r="BZ30" i="6" s="1"/>
  <c r="CH29" i="6"/>
  <c r="CF29" i="6"/>
  <c r="CA29" i="6"/>
  <c r="BY29" i="6"/>
  <c r="BX29" i="6"/>
  <c r="BW29" i="6"/>
  <c r="BK29" i="6"/>
  <c r="BB29" i="6"/>
  <c r="AW29" i="6"/>
  <c r="AU29" i="6"/>
  <c r="AT29" i="6"/>
  <c r="AS29" i="6"/>
  <c r="AR29" i="6"/>
  <c r="AQ29" i="6"/>
  <c r="AP29" i="6"/>
  <c r="AO29" i="6"/>
  <c r="AN29" i="6"/>
  <c r="AI29" i="6"/>
  <c r="R29" i="6"/>
  <c r="Q29" i="6"/>
  <c r="P29" i="6"/>
  <c r="BZ29" i="6" s="1"/>
  <c r="CJ28" i="6"/>
  <c r="CI28" i="6"/>
  <c r="CH28" i="6"/>
  <c r="CG28" i="6"/>
  <c r="CF28" i="6"/>
  <c r="CE28" i="6"/>
  <c r="CB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H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N28" i="6"/>
  <c r="AI28" i="6"/>
  <c r="AG28" i="6"/>
  <c r="AF28" i="6"/>
  <c r="AE28" i="6"/>
  <c r="AH28" i="6" s="1"/>
  <c r="AC28" i="6"/>
  <c r="AD28" i="6" s="1"/>
  <c r="AB28" i="6"/>
  <c r="AA28" i="6"/>
  <c r="Y28" i="6"/>
  <c r="X28" i="6"/>
  <c r="W28" i="6"/>
  <c r="U28" i="6"/>
  <c r="R28" i="6"/>
  <c r="Q28" i="6"/>
  <c r="CD28" i="6" s="1"/>
  <c r="P28" i="6"/>
  <c r="BZ28" i="6" s="1"/>
  <c r="CJ27" i="6"/>
  <c r="CH27" i="6"/>
  <c r="CG27" i="6"/>
  <c r="CE27" i="6"/>
  <c r="CD27" i="6"/>
  <c r="CC27" i="6"/>
  <c r="CB27" i="6"/>
  <c r="CA27" i="6"/>
  <c r="BV27" i="6"/>
  <c r="BQ27" i="6"/>
  <c r="BP27" i="6"/>
  <c r="BO27" i="6"/>
  <c r="BN27" i="6"/>
  <c r="BE27" i="6"/>
  <c r="BD27" i="6"/>
  <c r="BC27" i="6"/>
  <c r="BB27" i="6"/>
  <c r="AY27" i="6"/>
  <c r="AT27" i="6"/>
  <c r="AR27" i="6"/>
  <c r="AQ27" i="6"/>
  <c r="AP27" i="6"/>
  <c r="AN27" i="6"/>
  <c r="AM27" i="6"/>
  <c r="AI27" i="6"/>
  <c r="AG27" i="6"/>
  <c r="AF27" i="6"/>
  <c r="Y27" i="6"/>
  <c r="W27" i="6"/>
  <c r="S27" i="6"/>
  <c r="R27" i="6"/>
  <c r="Q27" i="6"/>
  <c r="P27" i="6"/>
  <c r="BZ27" i="6" s="1"/>
  <c r="BW26" i="6"/>
  <c r="BP26" i="6"/>
  <c r="BJ26" i="6"/>
  <c r="BG26" i="6"/>
  <c r="R26" i="6"/>
  <c r="AI26" i="6" s="1"/>
  <c r="Q26" i="6"/>
  <c r="BC26" i="6" s="1"/>
  <c r="P26" i="6"/>
  <c r="CI25" i="6"/>
  <c r="CH25" i="6"/>
  <c r="CD25" i="6"/>
  <c r="CC25" i="6"/>
  <c r="CB25" i="6"/>
  <c r="CA25" i="6"/>
  <c r="BU25" i="6"/>
  <c r="BS25" i="6"/>
  <c r="BI25" i="6"/>
  <c r="BH25" i="6"/>
  <c r="BG25" i="6"/>
  <c r="BD25" i="6"/>
  <c r="BA25" i="6"/>
  <c r="AY25" i="6"/>
  <c r="AX25" i="6"/>
  <c r="AU25" i="6"/>
  <c r="AT25" i="6"/>
  <c r="R25" i="6"/>
  <c r="AI25" i="6" s="1"/>
  <c r="Q25" i="6"/>
  <c r="CG25" i="6" s="1"/>
  <c r="P25" i="6"/>
  <c r="BZ25" i="6" s="1"/>
  <c r="CJ24" i="6"/>
  <c r="BV24" i="6"/>
  <c r="BT24" i="6"/>
  <c r="BS24" i="6"/>
  <c r="BP24" i="6"/>
  <c r="BN24" i="6"/>
  <c r="BM24" i="6"/>
  <c r="BL24" i="6"/>
  <c r="BK24" i="6"/>
  <c r="BG24" i="6"/>
  <c r="BE24" i="6"/>
  <c r="BD24" i="6"/>
  <c r="BC24" i="6"/>
  <c r="AR24" i="6"/>
  <c r="AQ24" i="6"/>
  <c r="AP24" i="6"/>
  <c r="AI24" i="6"/>
  <c r="AG24" i="6"/>
  <c r="AF24" i="6"/>
  <c r="AE24" i="6"/>
  <c r="AH24" i="6" s="1"/>
  <c r="AC24" i="6"/>
  <c r="AA24" i="6"/>
  <c r="X24" i="6"/>
  <c r="W24" i="6"/>
  <c r="U24" i="6"/>
  <c r="R24" i="6"/>
  <c r="Q24" i="6"/>
  <c r="CH24" i="6" s="1"/>
  <c r="P24" i="6"/>
  <c r="BR23" i="6"/>
  <c r="BQ23" i="6"/>
  <c r="BP23" i="6"/>
  <c r="BL23" i="6"/>
  <c r="BJ23" i="6"/>
  <c r="AX23" i="6"/>
  <c r="R23" i="6"/>
  <c r="AI23" i="6" s="1"/>
  <c r="Q23" i="6"/>
  <c r="BB23" i="6" s="1"/>
  <c r="P23" i="6"/>
  <c r="CJ22" i="6"/>
  <c r="CI22" i="6"/>
  <c r="CH22" i="6"/>
  <c r="CG22" i="6"/>
  <c r="BL22" i="6"/>
  <c r="BH22" i="6"/>
  <c r="BG22" i="6"/>
  <c r="BF22" i="6"/>
  <c r="BE22" i="6"/>
  <c r="BD22" i="6"/>
  <c r="AY22" i="6"/>
  <c r="AR22" i="6"/>
  <c r="AI22" i="6"/>
  <c r="R22" i="6"/>
  <c r="AC22" i="6" s="1"/>
  <c r="Q22" i="6"/>
  <c r="CF22" i="6" s="1"/>
  <c r="P22" i="6"/>
  <c r="BZ22" i="6" s="1"/>
  <c r="CD21" i="6"/>
  <c r="R21" i="6"/>
  <c r="AI21" i="6" s="1"/>
  <c r="Q21" i="6"/>
  <c r="CC21" i="6" s="1"/>
  <c r="P21" i="6"/>
  <c r="BZ21" i="6" s="1"/>
  <c r="R20" i="6"/>
  <c r="AI20" i="6" s="1"/>
  <c r="Q20" i="6"/>
  <c r="BL20" i="6" s="1"/>
  <c r="P20" i="6"/>
  <c r="BZ20" i="6" s="1"/>
  <c r="AI19" i="6"/>
  <c r="R19" i="6"/>
  <c r="Q19" i="6"/>
  <c r="BH19" i="6" s="1"/>
  <c r="P19" i="6"/>
  <c r="BP18" i="6"/>
  <c r="BO18" i="6"/>
  <c r="BN18" i="6"/>
  <c r="BM18" i="6"/>
  <c r="BL18" i="6"/>
  <c r="BK18" i="6"/>
  <c r="AU18" i="6"/>
  <c r="AT18" i="6"/>
  <c r="AS18" i="6"/>
  <c r="AR18" i="6"/>
  <c r="AQ18" i="6"/>
  <c r="AP18" i="6"/>
  <c r="AO18" i="6"/>
  <c r="AN18" i="6"/>
  <c r="R18" i="6"/>
  <c r="AI18" i="6" s="1"/>
  <c r="Q18" i="6"/>
  <c r="P18" i="6"/>
  <c r="BZ18" i="6" s="1"/>
  <c r="BH17" i="6"/>
  <c r="BG17" i="6"/>
  <c r="BF17" i="6"/>
  <c r="R17" i="6"/>
  <c r="AI17" i="6" s="1"/>
  <c r="Q17" i="6"/>
  <c r="BD17" i="6" s="1"/>
  <c r="P17" i="6"/>
  <c r="BZ17" i="6" s="1"/>
  <c r="CJ16" i="6"/>
  <c r="CI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AS16" i="6"/>
  <c r="AR16" i="6"/>
  <c r="AQ16" i="6"/>
  <c r="AP16" i="6"/>
  <c r="AO16" i="6"/>
  <c r="AN16" i="6"/>
  <c r="AM16" i="6"/>
  <c r="AI16" i="6"/>
  <c r="X16" i="6"/>
  <c r="R16" i="6"/>
  <c r="Q16" i="6"/>
  <c r="CG16" i="6" s="1"/>
  <c r="P16" i="6"/>
  <c r="BZ16" i="6" s="1"/>
  <c r="BU15" i="6"/>
  <c r="BT15" i="6"/>
  <c r="BC15" i="6"/>
  <c r="BA15" i="6"/>
  <c r="R15" i="6"/>
  <c r="AI15" i="6" s="1"/>
  <c r="Q15" i="6"/>
  <c r="AZ15" i="6" s="1"/>
  <c r="P15" i="6"/>
  <c r="BZ15" i="6" s="1"/>
  <c r="CJ14" i="6"/>
  <c r="CI14" i="6"/>
  <c r="CH14" i="6"/>
  <c r="BU14" i="6"/>
  <c r="BT14" i="6"/>
  <c r="BQ14" i="6"/>
  <c r="BP14" i="6"/>
  <c r="BO14" i="6"/>
  <c r="BN14" i="6"/>
  <c r="BM14" i="6"/>
  <c r="BL14" i="6"/>
  <c r="BJ14" i="6"/>
  <c r="BI14" i="6"/>
  <c r="AX14" i="6"/>
  <c r="AW14" i="6"/>
  <c r="AT14" i="6"/>
  <c r="AS14" i="6"/>
  <c r="AR14" i="6"/>
  <c r="AQ14" i="6"/>
  <c r="AP14" i="6"/>
  <c r="AN14" i="6"/>
  <c r="AM14" i="6"/>
  <c r="R14" i="6"/>
  <c r="AI14" i="6" s="1"/>
  <c r="Q14" i="6"/>
  <c r="CF14" i="6" s="1"/>
  <c r="P14" i="6"/>
  <c r="BZ14" i="6" s="1"/>
  <c r="BQ13" i="6"/>
  <c r="BK13" i="6"/>
  <c r="BI13" i="6"/>
  <c r="BH13" i="6"/>
  <c r="BG13" i="6"/>
  <c r="AW13" i="6"/>
  <c r="R13" i="6"/>
  <c r="AI13" i="6" s="1"/>
  <c r="Q13" i="6"/>
  <c r="AU13" i="6" s="1"/>
  <c r="P13" i="6"/>
  <c r="A13" i="6"/>
  <c r="CJ12" i="6"/>
  <c r="CI12" i="6"/>
  <c r="CH12" i="6"/>
  <c r="CD12" i="6"/>
  <c r="BI12" i="6"/>
  <c r="BG12" i="6"/>
  <c r="BE12" i="6"/>
  <c r="BD12" i="6"/>
  <c r="AR12" i="6"/>
  <c r="AI12" i="6"/>
  <c r="R12" i="6"/>
  <c r="Q12" i="6"/>
  <c r="AQ12" i="6" s="1"/>
  <c r="P12" i="6"/>
  <c r="BZ12" i="6" s="1"/>
  <c r="R11" i="6"/>
  <c r="AI11" i="6" s="1"/>
  <c r="Q11" i="6"/>
  <c r="BQ11" i="6" s="1"/>
  <c r="P11" i="6"/>
  <c r="R10" i="6"/>
  <c r="Q10" i="6"/>
  <c r="CG10" i="6" s="1"/>
  <c r="P10" i="6"/>
  <c r="BZ10" i="6" s="1"/>
  <c r="R9" i="6"/>
  <c r="Q9" i="6"/>
  <c r="CB9" i="6" s="1"/>
  <c r="P9" i="6"/>
  <c r="BZ9" i="6" s="1"/>
  <c r="R8" i="6"/>
  <c r="Q8" i="6"/>
  <c r="BU8" i="6" s="1"/>
  <c r="P8" i="6"/>
  <c r="BR7" i="6"/>
  <c r="AS7" i="6"/>
  <c r="R7" i="6"/>
  <c r="AI7" i="6" s="1"/>
  <c r="Q7" i="6"/>
  <c r="CA7" i="6" s="1"/>
  <c r="P7" i="6"/>
  <c r="BY6" i="6"/>
  <c r="BX6" i="6"/>
  <c r="BW6" i="6"/>
  <c r="BV6" i="6"/>
  <c r="BR6" i="6"/>
  <c r="AX6" i="6"/>
  <c r="AU6" i="6"/>
  <c r="R6" i="6"/>
  <c r="AI6" i="6" s="1"/>
  <c r="Q6" i="6"/>
  <c r="BP6" i="6" s="1"/>
  <c r="P6" i="6"/>
  <c r="R5" i="6"/>
  <c r="AI5" i="6" s="1"/>
  <c r="Q5" i="6"/>
  <c r="CJ5" i="6" s="1"/>
  <c r="P5" i="6"/>
  <c r="BZ5" i="6" s="1"/>
  <c r="R4" i="6"/>
  <c r="Q4" i="6"/>
  <c r="CF4" i="6" s="1"/>
  <c r="P4" i="6"/>
  <c r="AM3" i="6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BM3" i="6" s="1"/>
  <c r="BN3" i="6" s="1"/>
  <c r="BO3" i="6" s="1"/>
  <c r="BP3" i="6" s="1"/>
  <c r="BQ3" i="6" s="1"/>
  <c r="BR3" i="6" s="1"/>
  <c r="BS3" i="6" s="1"/>
  <c r="BT3" i="6" s="1"/>
  <c r="BU3" i="6" s="1"/>
  <c r="BV3" i="6" s="1"/>
  <c r="BW3" i="6" s="1"/>
  <c r="BX3" i="6" s="1"/>
  <c r="BY3" i="6" s="1"/>
  <c r="BZ3" i="6" s="1"/>
  <c r="CA3" i="6" s="1"/>
  <c r="CB3" i="6" s="1"/>
  <c r="CC3" i="6" s="1"/>
  <c r="CD3" i="6" s="1"/>
  <c r="CE3" i="6" s="1"/>
  <c r="CF3" i="6" s="1"/>
  <c r="CG3" i="6" s="1"/>
  <c r="CH3" i="6" s="1"/>
  <c r="CI3" i="6" s="1"/>
  <c r="CJ3" i="6" s="1"/>
  <c r="M121" i="5"/>
  <c r="K121" i="5"/>
  <c r="J121" i="5"/>
  <c r="I121" i="5"/>
  <c r="H121" i="5"/>
  <c r="K120" i="5"/>
  <c r="J120" i="5"/>
  <c r="I120" i="5"/>
  <c r="H120" i="5"/>
  <c r="M120" i="5" s="1"/>
  <c r="C120" i="5"/>
  <c r="K119" i="5"/>
  <c r="J119" i="5"/>
  <c r="F119" i="5"/>
  <c r="E119" i="5"/>
  <c r="D119" i="5"/>
  <c r="K118" i="5"/>
  <c r="J118" i="5"/>
  <c r="I118" i="5"/>
  <c r="H118" i="5"/>
  <c r="M118" i="5" s="1"/>
  <c r="S117" i="5"/>
  <c r="R117" i="5"/>
  <c r="Q117" i="5"/>
  <c r="M117" i="5"/>
  <c r="K117" i="5"/>
  <c r="J117" i="5"/>
  <c r="I117" i="5"/>
  <c r="H117" i="5"/>
  <c r="G117" i="5"/>
  <c r="D117" i="5"/>
  <c r="S116" i="5"/>
  <c r="K116" i="5"/>
  <c r="J116" i="5"/>
  <c r="G116" i="5"/>
  <c r="E116" i="5"/>
  <c r="D116" i="5"/>
  <c r="S115" i="5"/>
  <c r="K115" i="5"/>
  <c r="J115" i="5"/>
  <c r="G115" i="5"/>
  <c r="F115" i="5"/>
  <c r="I115" i="5" s="1"/>
  <c r="D115" i="5"/>
  <c r="S107" i="5"/>
  <c r="R107" i="5"/>
  <c r="O107" i="5"/>
  <c r="N107" i="5"/>
  <c r="M107" i="5"/>
  <c r="K107" i="5"/>
  <c r="J107" i="5"/>
  <c r="I107" i="5"/>
  <c r="H107" i="5"/>
  <c r="G107" i="5"/>
  <c r="F107" i="5"/>
  <c r="E107" i="5"/>
  <c r="D107" i="5"/>
  <c r="R106" i="5"/>
  <c r="G106" i="5"/>
  <c r="F106" i="5"/>
  <c r="E106" i="5"/>
  <c r="D106" i="5"/>
  <c r="R105" i="5"/>
  <c r="F105" i="5" s="1"/>
  <c r="O105" i="5"/>
  <c r="G105" i="5" s="1"/>
  <c r="K105" i="5"/>
  <c r="E105" i="5"/>
  <c r="D105" i="5"/>
  <c r="R104" i="5"/>
  <c r="O104" i="5"/>
  <c r="K104" i="5"/>
  <c r="G104" i="5"/>
  <c r="F104" i="5"/>
  <c r="E104" i="5"/>
  <c r="D104" i="5"/>
  <c r="R103" i="5"/>
  <c r="O103" i="5"/>
  <c r="M103" i="5"/>
  <c r="L103" i="5"/>
  <c r="K103" i="5"/>
  <c r="J103" i="5"/>
  <c r="I103" i="5"/>
  <c r="H103" i="5"/>
  <c r="D103" i="5"/>
  <c r="R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R101" i="5"/>
  <c r="F101" i="5" s="1"/>
  <c r="G101" i="5"/>
  <c r="E101" i="5"/>
  <c r="D101" i="5"/>
  <c r="R100" i="5"/>
  <c r="G100" i="5"/>
  <c r="F100" i="5"/>
  <c r="E100" i="5"/>
  <c r="D100" i="5"/>
  <c r="R99" i="5"/>
  <c r="G99" i="5"/>
  <c r="F99" i="5"/>
  <c r="E99" i="5"/>
  <c r="D99" i="5"/>
  <c r="R98" i="5"/>
  <c r="G98" i="5"/>
  <c r="F98" i="5"/>
  <c r="E98" i="5"/>
  <c r="D98" i="5"/>
  <c r="G97" i="5"/>
  <c r="F97" i="5"/>
  <c r="E97" i="5"/>
  <c r="D97" i="5"/>
  <c r="G96" i="5"/>
  <c r="F96" i="5"/>
  <c r="E96" i="5"/>
  <c r="D96" i="5"/>
  <c r="G95" i="5"/>
  <c r="F95" i="5"/>
  <c r="E95" i="5"/>
  <c r="D95" i="5"/>
  <c r="R94" i="5"/>
  <c r="O94" i="5"/>
  <c r="N94" i="5"/>
  <c r="M94" i="5"/>
  <c r="L94" i="5"/>
  <c r="K94" i="5"/>
  <c r="G94" i="5" s="1"/>
  <c r="J94" i="5"/>
  <c r="F94" i="5" s="1"/>
  <c r="I94" i="5"/>
  <c r="E94" i="5" s="1"/>
  <c r="H94" i="5"/>
  <c r="D94" i="5" s="1"/>
  <c r="R93" i="5"/>
  <c r="G93" i="5"/>
  <c r="F93" i="5"/>
  <c r="E93" i="5"/>
  <c r="D93" i="5"/>
  <c r="G92" i="5"/>
  <c r="F92" i="5"/>
  <c r="E92" i="5"/>
  <c r="D92" i="5"/>
  <c r="R91" i="5"/>
  <c r="O91" i="5"/>
  <c r="N91" i="5"/>
  <c r="M91" i="5"/>
  <c r="K91" i="5"/>
  <c r="J91" i="5"/>
  <c r="I91" i="5"/>
  <c r="E91" i="5" s="1"/>
  <c r="G91" i="5"/>
  <c r="F91" i="5"/>
  <c r="D91" i="5"/>
  <c r="R90" i="5"/>
  <c r="G90" i="5"/>
  <c r="F90" i="5"/>
  <c r="E90" i="5"/>
  <c r="D90" i="5"/>
  <c r="R89" i="5"/>
  <c r="F89" i="5" s="1"/>
  <c r="G89" i="5"/>
  <c r="E89" i="5"/>
  <c r="D89" i="5"/>
  <c r="R88" i="5"/>
  <c r="G88" i="5"/>
  <c r="F88" i="5"/>
  <c r="E88" i="5"/>
  <c r="D88" i="5"/>
  <c r="R87" i="5"/>
  <c r="G87" i="5"/>
  <c r="F87" i="5"/>
  <c r="E87" i="5"/>
  <c r="D87" i="5"/>
  <c r="S86" i="5"/>
  <c r="R86" i="5"/>
  <c r="F86" i="5" s="1"/>
  <c r="Q86" i="5"/>
  <c r="P86" i="5"/>
  <c r="D86" i="5" s="1"/>
  <c r="O86" i="5"/>
  <c r="G86" i="5" s="1"/>
  <c r="M86" i="5"/>
  <c r="L86" i="5"/>
  <c r="K86" i="5"/>
  <c r="E86" i="5"/>
  <c r="G85" i="5"/>
  <c r="F85" i="5"/>
  <c r="E85" i="5"/>
  <c r="D85" i="5"/>
  <c r="G84" i="5"/>
  <c r="F84" i="5"/>
  <c r="E84" i="5"/>
  <c r="D84" i="5"/>
  <c r="S83" i="5"/>
  <c r="R83" i="5"/>
  <c r="F83" i="5" s="1"/>
  <c r="Q83" i="5"/>
  <c r="P83" i="5"/>
  <c r="O83" i="5"/>
  <c r="N83" i="5"/>
  <c r="M83" i="5"/>
  <c r="L83" i="5"/>
  <c r="K83" i="5"/>
  <c r="J83" i="5"/>
  <c r="I83" i="5"/>
  <c r="H83" i="5"/>
  <c r="G83" i="5"/>
  <c r="E83" i="5"/>
  <c r="D83" i="5"/>
  <c r="S82" i="5"/>
  <c r="R82" i="5"/>
  <c r="Q82" i="5"/>
  <c r="P82" i="5"/>
  <c r="O82" i="5"/>
  <c r="K82" i="5"/>
  <c r="G82" i="5" s="1"/>
  <c r="F82" i="5"/>
  <c r="E82" i="5"/>
  <c r="D82" i="5"/>
  <c r="R81" i="5"/>
  <c r="G81" i="5"/>
  <c r="F81" i="5"/>
  <c r="E81" i="5"/>
  <c r="D81" i="5"/>
  <c r="R80" i="5"/>
  <c r="O80" i="5"/>
  <c r="N80" i="5"/>
  <c r="M80" i="5"/>
  <c r="E80" i="5" s="1"/>
  <c r="L80" i="5"/>
  <c r="K80" i="5"/>
  <c r="G80" i="5" s="1"/>
  <c r="J80" i="5"/>
  <c r="I80" i="5"/>
  <c r="H80" i="5"/>
  <c r="F80" i="5"/>
  <c r="D80" i="5"/>
  <c r="S79" i="5"/>
  <c r="R79" i="5"/>
  <c r="F79" i="5" s="1"/>
  <c r="Q79" i="5"/>
  <c r="P79" i="5"/>
  <c r="O79" i="5"/>
  <c r="N79" i="5"/>
  <c r="M79" i="5"/>
  <c r="L79" i="5"/>
  <c r="K79" i="5"/>
  <c r="J79" i="5"/>
  <c r="I79" i="5"/>
  <c r="H79" i="5"/>
  <c r="D79" i="5" s="1"/>
  <c r="S78" i="5"/>
  <c r="R78" i="5"/>
  <c r="Q78" i="5"/>
  <c r="P78" i="5"/>
  <c r="O78" i="5"/>
  <c r="N78" i="5"/>
  <c r="N74" i="5" s="1"/>
  <c r="M78" i="5"/>
  <c r="L78" i="5"/>
  <c r="K78" i="5"/>
  <c r="J78" i="5"/>
  <c r="I78" i="5"/>
  <c r="H78" i="5"/>
  <c r="S77" i="5"/>
  <c r="R77" i="5"/>
  <c r="Q77" i="5"/>
  <c r="P77" i="5"/>
  <c r="O77" i="5"/>
  <c r="N77" i="5"/>
  <c r="M77" i="5"/>
  <c r="L77" i="5"/>
  <c r="K77" i="5"/>
  <c r="J77" i="5"/>
  <c r="I77" i="5"/>
  <c r="E77" i="5" s="1"/>
  <c r="H77" i="5"/>
  <c r="G77" i="5"/>
  <c r="F77" i="5"/>
  <c r="N76" i="5"/>
  <c r="J76" i="5"/>
  <c r="G75" i="5"/>
  <c r="F75" i="5"/>
  <c r="E75" i="5"/>
  <c r="D75" i="5"/>
  <c r="S73" i="5"/>
  <c r="S74" i="5" s="1"/>
  <c r="Q73" i="5"/>
  <c r="Q74" i="5" s="1"/>
  <c r="R74" i="5" s="1"/>
  <c r="P73" i="5"/>
  <c r="O73" i="5"/>
  <c r="O76" i="5" s="1"/>
  <c r="N73" i="5"/>
  <c r="M73" i="5"/>
  <c r="L73" i="5"/>
  <c r="K73" i="5"/>
  <c r="J73" i="5"/>
  <c r="I73" i="5"/>
  <c r="H73" i="5"/>
  <c r="S72" i="5"/>
  <c r="Q72" i="5"/>
  <c r="R72" i="5" s="1"/>
  <c r="P72" i="5"/>
  <c r="O72" i="5"/>
  <c r="N72" i="5"/>
  <c r="M72" i="5"/>
  <c r="L72" i="5"/>
  <c r="K72" i="5"/>
  <c r="J72" i="5"/>
  <c r="I72" i="5"/>
  <c r="E72" i="5" s="1"/>
  <c r="H72" i="5"/>
  <c r="D72" i="5" s="1"/>
  <c r="G72" i="5"/>
  <c r="F72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R70" i="5"/>
  <c r="F70" i="5" s="1"/>
  <c r="O70" i="5"/>
  <c r="G70" i="5" s="1"/>
  <c r="N70" i="5"/>
  <c r="M70" i="5"/>
  <c r="K70" i="5"/>
  <c r="I70" i="5"/>
  <c r="E70" i="5"/>
  <c r="D70" i="5"/>
  <c r="R69" i="5"/>
  <c r="O69" i="5"/>
  <c r="N69" i="5"/>
  <c r="M69" i="5"/>
  <c r="J69" i="5"/>
  <c r="I69" i="5"/>
  <c r="G69" i="5"/>
  <c r="F69" i="5"/>
  <c r="E69" i="5"/>
  <c r="D69" i="5"/>
  <c r="R68" i="5"/>
  <c r="F68" i="5" s="1"/>
  <c r="O68" i="5"/>
  <c r="G68" i="5" s="1"/>
  <c r="N68" i="5"/>
  <c r="M68" i="5"/>
  <c r="K68" i="5"/>
  <c r="J68" i="5"/>
  <c r="I68" i="5"/>
  <c r="E68" i="5"/>
  <c r="D68" i="5"/>
  <c r="R67" i="5"/>
  <c r="O67" i="5"/>
  <c r="N67" i="5"/>
  <c r="M67" i="5"/>
  <c r="J67" i="5"/>
  <c r="I67" i="5"/>
  <c r="G67" i="5"/>
  <c r="F67" i="5"/>
  <c r="E67" i="5"/>
  <c r="D67" i="5"/>
  <c r="R66" i="5"/>
  <c r="F66" i="5" s="1"/>
  <c r="O66" i="5"/>
  <c r="N66" i="5"/>
  <c r="M66" i="5"/>
  <c r="L66" i="5"/>
  <c r="J66" i="5"/>
  <c r="I66" i="5"/>
  <c r="G66" i="5"/>
  <c r="E66" i="5"/>
  <c r="D66" i="5"/>
  <c r="R65" i="5"/>
  <c r="O65" i="5"/>
  <c r="N65" i="5"/>
  <c r="M65" i="5"/>
  <c r="K65" i="5"/>
  <c r="J65" i="5"/>
  <c r="I65" i="5"/>
  <c r="G65" i="5"/>
  <c r="F65" i="5"/>
  <c r="E65" i="5"/>
  <c r="D65" i="5"/>
  <c r="S64" i="5"/>
  <c r="Q64" i="5"/>
  <c r="R64" i="5" s="1"/>
  <c r="F64" i="5" s="1"/>
  <c r="P64" i="5"/>
  <c r="O64" i="5"/>
  <c r="N64" i="5"/>
  <c r="M64" i="5"/>
  <c r="K64" i="5"/>
  <c r="G64" i="5"/>
  <c r="D64" i="5"/>
  <c r="S63" i="5"/>
  <c r="Q63" i="5"/>
  <c r="R63" i="5" s="1"/>
  <c r="P63" i="5"/>
  <c r="O63" i="5"/>
  <c r="G63" i="5" s="1"/>
  <c r="N63" i="5"/>
  <c r="M63" i="5"/>
  <c r="K63" i="5"/>
  <c r="E63" i="5"/>
  <c r="D63" i="5"/>
  <c r="S62" i="5"/>
  <c r="G62" i="5" s="1"/>
  <c r="R62" i="5"/>
  <c r="Q62" i="5"/>
  <c r="P62" i="5"/>
  <c r="O62" i="5"/>
  <c r="N62" i="5"/>
  <c r="M62" i="5"/>
  <c r="K62" i="5"/>
  <c r="J62" i="5"/>
  <c r="I62" i="5"/>
  <c r="F62" i="5"/>
  <c r="E62" i="5"/>
  <c r="D62" i="5"/>
  <c r="S61" i="5"/>
  <c r="R61" i="5"/>
  <c r="O61" i="5"/>
  <c r="K61" i="5"/>
  <c r="G61" i="5"/>
  <c r="F61" i="5"/>
  <c r="E61" i="5"/>
  <c r="D61" i="5"/>
  <c r="S60" i="5"/>
  <c r="Q60" i="5"/>
  <c r="R60" i="5" s="1"/>
  <c r="F60" i="5" s="1"/>
  <c r="P60" i="5"/>
  <c r="O60" i="5"/>
  <c r="N60" i="5"/>
  <c r="M60" i="5"/>
  <c r="K60" i="5"/>
  <c r="G60" i="5"/>
  <c r="E60" i="5"/>
  <c r="D60" i="5"/>
  <c r="S59" i="5"/>
  <c r="Q59" i="5"/>
  <c r="R59" i="5" s="1"/>
  <c r="P59" i="5"/>
  <c r="D59" i="5" s="1"/>
  <c r="O59" i="5"/>
  <c r="N59" i="5"/>
  <c r="M59" i="5"/>
  <c r="E59" i="5" s="1"/>
  <c r="K59" i="5"/>
  <c r="G59" i="5" s="1"/>
  <c r="S58" i="5"/>
  <c r="Q58" i="5"/>
  <c r="R58" i="5" s="1"/>
  <c r="P58" i="5"/>
  <c r="D58" i="5" s="1"/>
  <c r="O58" i="5"/>
  <c r="G58" i="5" s="1"/>
  <c r="N58" i="5"/>
  <c r="F58" i="5" s="1"/>
  <c r="M58" i="5"/>
  <c r="E58" i="5" s="1"/>
  <c r="K58" i="5"/>
  <c r="J58" i="5"/>
  <c r="I58" i="5"/>
  <c r="S57" i="5"/>
  <c r="G57" i="5" s="1"/>
  <c r="R57" i="5"/>
  <c r="O57" i="5"/>
  <c r="K57" i="5"/>
  <c r="F57" i="5"/>
  <c r="E57" i="5"/>
  <c r="D57" i="5"/>
  <c r="R56" i="5"/>
  <c r="O56" i="5"/>
  <c r="N56" i="5"/>
  <c r="F56" i="5" s="1"/>
  <c r="M56" i="5"/>
  <c r="E56" i="5" s="1"/>
  <c r="L56" i="5"/>
  <c r="D56" i="5" s="1"/>
  <c r="K56" i="5"/>
  <c r="G56" i="5" s="1"/>
  <c r="J56" i="5"/>
  <c r="I56" i="5"/>
  <c r="H56" i="5"/>
  <c r="R55" i="5"/>
  <c r="O55" i="5"/>
  <c r="N55" i="5"/>
  <c r="M55" i="5"/>
  <c r="K55" i="5"/>
  <c r="J55" i="5"/>
  <c r="I55" i="5"/>
  <c r="H55" i="5"/>
  <c r="G55" i="5"/>
  <c r="F55" i="5"/>
  <c r="E55" i="5"/>
  <c r="D55" i="5"/>
  <c r="R54" i="5"/>
  <c r="O54" i="5"/>
  <c r="N54" i="5"/>
  <c r="M54" i="5"/>
  <c r="L54" i="5"/>
  <c r="D54" i="5" s="1"/>
  <c r="K54" i="5"/>
  <c r="G54" i="5" s="1"/>
  <c r="J54" i="5"/>
  <c r="I54" i="5"/>
  <c r="E54" i="5" s="1"/>
  <c r="H54" i="5"/>
  <c r="R53" i="5"/>
  <c r="O53" i="5"/>
  <c r="N53" i="5"/>
  <c r="M53" i="5"/>
  <c r="K53" i="5"/>
  <c r="J53" i="5"/>
  <c r="I53" i="5"/>
  <c r="H53" i="5"/>
  <c r="G53" i="5"/>
  <c r="F53" i="5"/>
  <c r="E53" i="5"/>
  <c r="D53" i="5"/>
  <c r="G52" i="5"/>
  <c r="F52" i="5"/>
  <c r="E52" i="5"/>
  <c r="D52" i="5"/>
  <c r="G51" i="5"/>
  <c r="F51" i="5"/>
  <c r="E51" i="5"/>
  <c r="D51" i="5"/>
  <c r="R50" i="5"/>
  <c r="O50" i="5"/>
  <c r="M50" i="5"/>
  <c r="K50" i="5"/>
  <c r="G50" i="5"/>
  <c r="F50" i="5"/>
  <c r="E50" i="5"/>
  <c r="D50" i="5"/>
  <c r="G49" i="5"/>
  <c r="F49" i="5"/>
  <c r="E49" i="5"/>
  <c r="D49" i="5"/>
  <c r="S48" i="5"/>
  <c r="G48" i="5" s="1"/>
  <c r="Q48" i="5"/>
  <c r="E48" i="5" s="1"/>
  <c r="P48" i="5"/>
  <c r="O48" i="5"/>
  <c r="K48" i="5"/>
  <c r="H48" i="5"/>
  <c r="D48" i="5"/>
  <c r="G47" i="5"/>
  <c r="F47" i="5"/>
  <c r="E47" i="5"/>
  <c r="D47" i="5"/>
  <c r="R46" i="5"/>
  <c r="O46" i="5"/>
  <c r="N46" i="5"/>
  <c r="F46" i="5" s="1"/>
  <c r="M46" i="5"/>
  <c r="E46" i="5" s="1"/>
  <c r="L46" i="5"/>
  <c r="K46" i="5"/>
  <c r="G46" i="5" s="1"/>
  <c r="H46" i="5"/>
  <c r="D46" i="5" s="1"/>
  <c r="R45" i="5"/>
  <c r="O45" i="5"/>
  <c r="K45" i="5"/>
  <c r="G45" i="5"/>
  <c r="F45" i="5"/>
  <c r="E45" i="5"/>
  <c r="D45" i="5"/>
  <c r="R44" i="5"/>
  <c r="O44" i="5"/>
  <c r="G44" i="5"/>
  <c r="F44" i="5"/>
  <c r="E44" i="5"/>
  <c r="D44" i="5"/>
  <c r="S43" i="5"/>
  <c r="G43" i="5" s="1"/>
  <c r="Q43" i="5"/>
  <c r="R43" i="5" s="1"/>
  <c r="F43" i="5" s="1"/>
  <c r="P43" i="5"/>
  <c r="D43" i="5" s="1"/>
  <c r="O43" i="5"/>
  <c r="N43" i="5"/>
  <c r="M43" i="5"/>
  <c r="K43" i="5"/>
  <c r="J43" i="5"/>
  <c r="I43" i="5"/>
  <c r="H43" i="5"/>
  <c r="S42" i="5"/>
  <c r="Q42" i="5"/>
  <c r="R42" i="5" s="1"/>
  <c r="P42" i="5"/>
  <c r="O42" i="5"/>
  <c r="N42" i="5"/>
  <c r="M42" i="5"/>
  <c r="E42" i="5" s="1"/>
  <c r="L42" i="5"/>
  <c r="D42" i="5" s="1"/>
  <c r="K42" i="5"/>
  <c r="G42" i="5" s="1"/>
  <c r="J42" i="5"/>
  <c r="I42" i="5"/>
  <c r="G41" i="5"/>
  <c r="F41" i="5"/>
  <c r="E41" i="5"/>
  <c r="D41" i="5"/>
  <c r="K40" i="5"/>
  <c r="K38" i="5" s="1"/>
  <c r="G38" i="5" s="1"/>
  <c r="J40" i="5"/>
  <c r="J38" i="5" s="1"/>
  <c r="I40" i="5"/>
  <c r="H40" i="5"/>
  <c r="H39" i="5" s="1"/>
  <c r="S39" i="5"/>
  <c r="Q39" i="5"/>
  <c r="R39" i="5" s="1"/>
  <c r="O39" i="5"/>
  <c r="N39" i="5"/>
  <c r="M39" i="5"/>
  <c r="D39" i="5"/>
  <c r="S38" i="5"/>
  <c r="Q38" i="5"/>
  <c r="R38" i="5" s="1"/>
  <c r="O38" i="5"/>
  <c r="N38" i="5"/>
  <c r="M38" i="5"/>
  <c r="S37" i="5"/>
  <c r="R37" i="5"/>
  <c r="Q37" i="5"/>
  <c r="O37" i="5"/>
  <c r="N37" i="5"/>
  <c r="M37" i="5"/>
  <c r="L37" i="5"/>
  <c r="K37" i="5"/>
  <c r="J37" i="5"/>
  <c r="I37" i="5"/>
  <c r="H37" i="5"/>
  <c r="D37" i="5" s="1"/>
  <c r="G37" i="5"/>
  <c r="F37" i="5"/>
  <c r="E37" i="5"/>
  <c r="R36" i="5"/>
  <c r="G36" i="5"/>
  <c r="F36" i="5"/>
  <c r="E36" i="5"/>
  <c r="D36" i="5"/>
  <c r="G35" i="5"/>
  <c r="F35" i="5"/>
  <c r="E35" i="5"/>
  <c r="D35" i="5"/>
  <c r="S34" i="5"/>
  <c r="Q34" i="5"/>
  <c r="R34" i="5" s="1"/>
  <c r="O34" i="5"/>
  <c r="N34" i="5"/>
  <c r="M34" i="5"/>
  <c r="K34" i="5"/>
  <c r="K39" i="5" s="1"/>
  <c r="G39" i="5" s="1"/>
  <c r="J34" i="5"/>
  <c r="I34" i="5"/>
  <c r="G34" i="5"/>
  <c r="D34" i="5"/>
  <c r="S33" i="5"/>
  <c r="Q33" i="5"/>
  <c r="R33" i="5" s="1"/>
  <c r="O33" i="5"/>
  <c r="N33" i="5"/>
  <c r="M33" i="5"/>
  <c r="K33" i="5"/>
  <c r="J33" i="5"/>
  <c r="I33" i="5"/>
  <c r="I38" i="5" s="1"/>
  <c r="G33" i="5"/>
  <c r="F33" i="5"/>
  <c r="E33" i="5"/>
  <c r="D33" i="5"/>
  <c r="S32" i="5"/>
  <c r="Q32" i="5"/>
  <c r="R32" i="5" s="1"/>
  <c r="O32" i="5"/>
  <c r="N32" i="5"/>
  <c r="F32" i="5" s="1"/>
  <c r="M32" i="5"/>
  <c r="L32" i="5"/>
  <c r="D32" i="5" s="1"/>
  <c r="K32" i="5"/>
  <c r="J32" i="5"/>
  <c r="I32" i="5"/>
  <c r="H32" i="5"/>
  <c r="S31" i="5"/>
  <c r="Q31" i="5"/>
  <c r="R31" i="5" s="1"/>
  <c r="F31" i="5" s="1"/>
  <c r="O31" i="5"/>
  <c r="N31" i="5"/>
  <c r="M31" i="5"/>
  <c r="L31" i="5"/>
  <c r="K31" i="5"/>
  <c r="J31" i="5"/>
  <c r="I31" i="5"/>
  <c r="E31" i="5" s="1"/>
  <c r="H31" i="5"/>
  <c r="D31" i="5" s="1"/>
  <c r="G31" i="5"/>
  <c r="S30" i="5"/>
  <c r="R30" i="5"/>
  <c r="O30" i="5"/>
  <c r="N30" i="5"/>
  <c r="M30" i="5"/>
  <c r="L30" i="5"/>
  <c r="K30" i="5"/>
  <c r="G30" i="5"/>
  <c r="F30" i="5"/>
  <c r="E30" i="5"/>
  <c r="D30" i="5"/>
  <c r="R29" i="5"/>
  <c r="G29" i="5"/>
  <c r="F29" i="5"/>
  <c r="E29" i="5"/>
  <c r="D29" i="5"/>
  <c r="S28" i="5"/>
  <c r="G28" i="5" s="1"/>
  <c r="R28" i="5"/>
  <c r="F28" i="5" s="1"/>
  <c r="O28" i="5"/>
  <c r="K28" i="5"/>
  <c r="E28" i="5"/>
  <c r="D28" i="5"/>
  <c r="S27" i="5"/>
  <c r="R27" i="5"/>
  <c r="O27" i="5"/>
  <c r="N27" i="5"/>
  <c r="I27" i="5"/>
  <c r="H27" i="5"/>
  <c r="E27" i="5"/>
  <c r="D27" i="5"/>
  <c r="K26" i="5"/>
  <c r="K27" i="5" s="1"/>
  <c r="G27" i="5" s="1"/>
  <c r="J26" i="5"/>
  <c r="J27" i="5" s="1"/>
  <c r="F27" i="5" s="1"/>
  <c r="I26" i="5"/>
  <c r="H26" i="5"/>
  <c r="S25" i="5"/>
  <c r="R25" i="5"/>
  <c r="O25" i="5"/>
  <c r="N25" i="5"/>
  <c r="K25" i="5"/>
  <c r="G25" i="5"/>
  <c r="F25" i="5"/>
  <c r="E25" i="5"/>
  <c r="D25" i="5"/>
  <c r="G24" i="5"/>
  <c r="F24" i="5"/>
  <c r="E24" i="5"/>
  <c r="D24" i="5"/>
  <c r="G23" i="5"/>
  <c r="F23" i="5"/>
  <c r="E23" i="5"/>
  <c r="D23" i="5"/>
  <c r="R22" i="5"/>
  <c r="F22" i="5" s="1"/>
  <c r="G22" i="5"/>
  <c r="E22" i="5"/>
  <c r="D22" i="5"/>
  <c r="S21" i="5"/>
  <c r="R21" i="5"/>
  <c r="O21" i="5"/>
  <c r="K21" i="5"/>
  <c r="G21" i="5"/>
  <c r="F21" i="5"/>
  <c r="E21" i="5"/>
  <c r="D21" i="5"/>
  <c r="S20" i="5"/>
  <c r="R20" i="5"/>
  <c r="O20" i="5"/>
  <c r="K20" i="5"/>
  <c r="G20" i="5"/>
  <c r="F20" i="5"/>
  <c r="E20" i="5"/>
  <c r="D20" i="5"/>
  <c r="S19" i="5"/>
  <c r="R19" i="5"/>
  <c r="O19" i="5"/>
  <c r="N19" i="5"/>
  <c r="K19" i="5"/>
  <c r="J19" i="5"/>
  <c r="I19" i="5"/>
  <c r="G19" i="5"/>
  <c r="F19" i="5"/>
  <c r="E19" i="5"/>
  <c r="D19" i="5"/>
  <c r="S18" i="5"/>
  <c r="R18" i="5"/>
  <c r="O18" i="5"/>
  <c r="K18" i="5"/>
  <c r="G18" i="5"/>
  <c r="F18" i="5"/>
  <c r="E18" i="5"/>
  <c r="D18" i="5"/>
  <c r="G17" i="5"/>
  <c r="F17" i="5"/>
  <c r="E17" i="5"/>
  <c r="D17" i="5"/>
  <c r="S16" i="5"/>
  <c r="Q16" i="5"/>
  <c r="R16" i="5" s="1"/>
  <c r="F16" i="5" s="1"/>
  <c r="O16" i="5"/>
  <c r="N16" i="5"/>
  <c r="M16" i="5"/>
  <c r="L16" i="5"/>
  <c r="K16" i="5"/>
  <c r="J16" i="5"/>
  <c r="I16" i="5"/>
  <c r="G16" i="5"/>
  <c r="E16" i="5"/>
  <c r="D16" i="5"/>
  <c r="W15" i="5"/>
  <c r="S15" i="5"/>
  <c r="G15" i="5" s="1"/>
  <c r="R15" i="5"/>
  <c r="F15" i="5" s="1"/>
  <c r="Q15" i="5"/>
  <c r="O15" i="5"/>
  <c r="N15" i="5"/>
  <c r="M15" i="5"/>
  <c r="K15" i="5"/>
  <c r="J15" i="5"/>
  <c r="I15" i="5"/>
  <c r="E15" i="5"/>
  <c r="D15" i="5"/>
  <c r="K14" i="5"/>
  <c r="J14" i="5"/>
  <c r="I14" i="5"/>
  <c r="H14" i="5"/>
  <c r="S13" i="5"/>
  <c r="Q13" i="5"/>
  <c r="R13" i="5" s="1"/>
  <c r="F13" i="5" s="1"/>
  <c r="P13" i="5"/>
  <c r="O13" i="5"/>
  <c r="N13" i="5"/>
  <c r="M13" i="5"/>
  <c r="L13" i="5"/>
  <c r="G13" i="5"/>
  <c r="E13" i="5"/>
  <c r="D13" i="5"/>
  <c r="S12" i="5"/>
  <c r="Q12" i="5"/>
  <c r="R12" i="5" s="1"/>
  <c r="P12" i="5"/>
  <c r="O12" i="5"/>
  <c r="N12" i="5"/>
  <c r="M12" i="5"/>
  <c r="L12" i="5"/>
  <c r="K12" i="5"/>
  <c r="G12" i="5" s="1"/>
  <c r="S11" i="5"/>
  <c r="Q11" i="5"/>
  <c r="R11" i="5" s="1"/>
  <c r="P11" i="5"/>
  <c r="O11" i="5"/>
  <c r="N11" i="5"/>
  <c r="M11" i="5"/>
  <c r="L11" i="5"/>
  <c r="K11" i="5"/>
  <c r="G11" i="5" s="1"/>
  <c r="J11" i="5"/>
  <c r="F11" i="5" s="1"/>
  <c r="I11" i="5"/>
  <c r="E11" i="5" s="1"/>
  <c r="W10" i="5"/>
  <c r="S10" i="5"/>
  <c r="Q10" i="5"/>
  <c r="R10" i="5" s="1"/>
  <c r="P10" i="5"/>
  <c r="O10" i="5"/>
  <c r="N10" i="5"/>
  <c r="M10" i="5"/>
  <c r="L10" i="5"/>
  <c r="K10" i="5"/>
  <c r="K13" i="5" s="1"/>
  <c r="J10" i="5"/>
  <c r="J13" i="5" s="1"/>
  <c r="I10" i="5"/>
  <c r="I13" i="5" s="1"/>
  <c r="H10" i="5"/>
  <c r="H13" i="5" s="1"/>
  <c r="G10" i="5"/>
  <c r="F10" i="5"/>
  <c r="E10" i="5"/>
  <c r="D10" i="5"/>
  <c r="W9" i="5"/>
  <c r="S9" i="5"/>
  <c r="Q9" i="5"/>
  <c r="R9" i="5" s="1"/>
  <c r="P9" i="5"/>
  <c r="O9" i="5"/>
  <c r="N9" i="5"/>
  <c r="M9" i="5"/>
  <c r="L9" i="5"/>
  <c r="K9" i="5"/>
  <c r="J9" i="5"/>
  <c r="J12" i="5" s="1"/>
  <c r="I9" i="5"/>
  <c r="I12" i="5" s="1"/>
  <c r="E12" i="5" s="1"/>
  <c r="H9" i="5"/>
  <c r="H12" i="5" s="1"/>
  <c r="D12" i="5" s="1"/>
  <c r="G9" i="5"/>
  <c r="F9" i="5"/>
  <c r="E9" i="5"/>
  <c r="D9" i="5"/>
  <c r="S8" i="5"/>
  <c r="G8" i="5" s="1"/>
  <c r="Q8" i="5"/>
  <c r="E8" i="5" s="1"/>
  <c r="P8" i="5"/>
  <c r="O8" i="5"/>
  <c r="N8" i="5"/>
  <c r="M8" i="5"/>
  <c r="L8" i="5"/>
  <c r="K8" i="5"/>
  <c r="J8" i="5"/>
  <c r="I8" i="5"/>
  <c r="H8" i="5"/>
  <c r="H11" i="5" s="1"/>
  <c r="D11" i="5" s="1"/>
  <c r="D8" i="5"/>
  <c r="H3" i="5"/>
  <c r="I38" i="2"/>
  <c r="H38" i="2"/>
  <c r="G38" i="2"/>
  <c r="F38" i="2"/>
  <c r="I37" i="2"/>
  <c r="H37" i="2"/>
  <c r="G37" i="2"/>
  <c r="F37" i="2"/>
  <c r="I36" i="2"/>
  <c r="H36" i="2"/>
  <c r="G36" i="2"/>
  <c r="F36" i="2"/>
  <c r="I35" i="2"/>
  <c r="H35" i="2"/>
  <c r="G35" i="2"/>
  <c r="F35" i="2"/>
  <c r="I34" i="2"/>
  <c r="H34" i="2"/>
  <c r="G34" i="2"/>
  <c r="F34" i="2"/>
  <c r="I33" i="2"/>
  <c r="H33" i="2"/>
  <c r="G33" i="2"/>
  <c r="F33" i="2"/>
  <c r="I32" i="2"/>
  <c r="H32" i="2"/>
  <c r="G32" i="2"/>
  <c r="F32" i="2"/>
  <c r="I29" i="2"/>
  <c r="H29" i="2"/>
  <c r="G29" i="2"/>
  <c r="F29" i="2"/>
  <c r="I27" i="2"/>
  <c r="H27" i="2"/>
  <c r="G27" i="2"/>
  <c r="I25" i="2"/>
  <c r="G37" i="3" s="1"/>
  <c r="H25" i="2"/>
  <c r="G25" i="2"/>
  <c r="F25" i="2"/>
  <c r="I23" i="2"/>
  <c r="H23" i="2"/>
  <c r="G23" i="2"/>
  <c r="F23" i="2"/>
  <c r="C23" i="2"/>
  <c r="B21" i="2"/>
  <c r="I20" i="2"/>
  <c r="H20" i="2"/>
  <c r="G20" i="2"/>
  <c r="I19" i="2"/>
  <c r="F19" i="2"/>
  <c r="H10" i="2"/>
  <c r="F10" i="2"/>
  <c r="K58" i="1"/>
  <c r="I58" i="1"/>
  <c r="H58" i="1"/>
  <c r="G58" i="1"/>
  <c r="F58" i="1"/>
  <c r="E58" i="1"/>
  <c r="J58" i="1" s="1"/>
  <c r="K57" i="1"/>
  <c r="I57" i="1"/>
  <c r="H57" i="1"/>
  <c r="G57" i="1"/>
  <c r="F57" i="1"/>
  <c r="E57" i="1"/>
  <c r="J57" i="1" s="1"/>
  <c r="K56" i="1"/>
  <c r="I56" i="1"/>
  <c r="H56" i="1"/>
  <c r="G56" i="1"/>
  <c r="F56" i="1"/>
  <c r="E56" i="1"/>
  <c r="J56" i="1" s="1"/>
  <c r="K55" i="1"/>
  <c r="I55" i="1"/>
  <c r="H55" i="1"/>
  <c r="G55" i="1"/>
  <c r="F55" i="1"/>
  <c r="E55" i="1"/>
  <c r="J55" i="1" s="1"/>
  <c r="K54" i="1"/>
  <c r="I54" i="1"/>
  <c r="H54" i="1"/>
  <c r="G54" i="1"/>
  <c r="F54" i="1"/>
  <c r="E54" i="1"/>
  <c r="J54" i="1" s="1"/>
  <c r="K53" i="1"/>
  <c r="I53" i="1"/>
  <c r="H53" i="1"/>
  <c r="G53" i="1"/>
  <c r="F53" i="1"/>
  <c r="E53" i="1"/>
  <c r="J53" i="1" s="1"/>
  <c r="K52" i="1"/>
  <c r="I52" i="1"/>
  <c r="H52" i="1"/>
  <c r="G52" i="1"/>
  <c r="F52" i="1"/>
  <c r="E52" i="1"/>
  <c r="J52" i="1" s="1"/>
  <c r="K51" i="1"/>
  <c r="I51" i="1"/>
  <c r="H51" i="1"/>
  <c r="G51" i="1"/>
  <c r="F51" i="1"/>
  <c r="E51" i="1"/>
  <c r="J51" i="1" s="1"/>
  <c r="K50" i="1"/>
  <c r="I50" i="1"/>
  <c r="H50" i="1"/>
  <c r="G50" i="1"/>
  <c r="F50" i="1"/>
  <c r="E50" i="1"/>
  <c r="J50" i="1" s="1"/>
  <c r="K49" i="1"/>
  <c r="I49" i="1"/>
  <c r="H49" i="1"/>
  <c r="G49" i="1"/>
  <c r="F49" i="1"/>
  <c r="E49" i="1"/>
  <c r="J49" i="1" s="1"/>
  <c r="K48" i="1"/>
  <c r="I48" i="1"/>
  <c r="H48" i="1"/>
  <c r="G48" i="1"/>
  <c r="F48" i="1"/>
  <c r="E48" i="1"/>
  <c r="J48" i="1" s="1"/>
  <c r="K47" i="1"/>
  <c r="I47" i="1"/>
  <c r="H47" i="1"/>
  <c r="G47" i="1"/>
  <c r="F47" i="1"/>
  <c r="E47" i="1"/>
  <c r="J47" i="1" s="1"/>
  <c r="K46" i="1"/>
  <c r="I46" i="1"/>
  <c r="H46" i="1"/>
  <c r="G46" i="1"/>
  <c r="F46" i="1"/>
  <c r="E46" i="1"/>
  <c r="J46" i="1" s="1"/>
  <c r="K45" i="1"/>
  <c r="I45" i="1"/>
  <c r="H45" i="1"/>
  <c r="G45" i="1"/>
  <c r="F45" i="1"/>
  <c r="E45" i="1"/>
  <c r="J45" i="1" s="1"/>
  <c r="K44" i="1"/>
  <c r="I44" i="1"/>
  <c r="H44" i="1"/>
  <c r="G44" i="1"/>
  <c r="F44" i="1"/>
  <c r="E44" i="1"/>
  <c r="J44" i="1" s="1"/>
  <c r="K43" i="1"/>
  <c r="I43" i="1"/>
  <c r="H43" i="1"/>
  <c r="G43" i="1"/>
  <c r="F43" i="1"/>
  <c r="E43" i="1"/>
  <c r="J43" i="1" s="1"/>
  <c r="K42" i="1"/>
  <c r="I42" i="1"/>
  <c r="H42" i="1"/>
  <c r="G42" i="1"/>
  <c r="F42" i="1"/>
  <c r="E42" i="1"/>
  <c r="J42" i="1" s="1"/>
  <c r="K41" i="1"/>
  <c r="I41" i="1"/>
  <c r="H41" i="1"/>
  <c r="G41" i="1"/>
  <c r="F41" i="1"/>
  <c r="E41" i="1"/>
  <c r="J41" i="1" s="1"/>
  <c r="K40" i="1"/>
  <c r="I40" i="1"/>
  <c r="H40" i="1"/>
  <c r="G40" i="1"/>
  <c r="F40" i="1"/>
  <c r="E40" i="1"/>
  <c r="J40" i="1" s="1"/>
  <c r="K39" i="1"/>
  <c r="G39" i="1" s="1"/>
  <c r="I39" i="1"/>
  <c r="H39" i="1"/>
  <c r="E39" i="1"/>
  <c r="J39" i="1" s="1"/>
  <c r="K38" i="1"/>
  <c r="I38" i="1"/>
  <c r="H38" i="1"/>
  <c r="G38" i="1"/>
  <c r="F38" i="1"/>
  <c r="E38" i="1"/>
  <c r="J38" i="1" s="1"/>
  <c r="K37" i="1"/>
  <c r="F37" i="1" s="1"/>
  <c r="I37" i="1"/>
  <c r="H37" i="1"/>
  <c r="K36" i="1"/>
  <c r="I36" i="1"/>
  <c r="H36" i="1"/>
  <c r="F36" i="1"/>
  <c r="E36" i="1"/>
  <c r="J36" i="1" s="1"/>
  <c r="K35" i="1"/>
  <c r="F35" i="1" s="1"/>
  <c r="I35" i="1"/>
  <c r="H35" i="1"/>
  <c r="G35" i="1"/>
  <c r="E35" i="1"/>
  <c r="J35" i="1" s="1"/>
  <c r="K34" i="1"/>
  <c r="F34" i="1" s="1"/>
  <c r="I34" i="1"/>
  <c r="H34" i="1"/>
  <c r="G34" i="1"/>
  <c r="K33" i="1"/>
  <c r="I33" i="1"/>
  <c r="H33" i="1"/>
  <c r="G33" i="1"/>
  <c r="F33" i="1"/>
  <c r="E33" i="1"/>
  <c r="J33" i="1" s="1"/>
  <c r="K32" i="1"/>
  <c r="J32" i="1"/>
  <c r="I32" i="1"/>
  <c r="H32" i="1"/>
  <c r="G32" i="1"/>
  <c r="F32" i="1"/>
  <c r="E32" i="1"/>
  <c r="K31" i="1"/>
  <c r="I31" i="1"/>
  <c r="H31" i="1"/>
  <c r="G31" i="1"/>
  <c r="F31" i="1"/>
  <c r="E31" i="1"/>
  <c r="J31" i="1" s="1"/>
  <c r="K30" i="1"/>
  <c r="I30" i="1"/>
  <c r="H30" i="1"/>
  <c r="G30" i="1"/>
  <c r="F30" i="1"/>
  <c r="E30" i="1"/>
  <c r="J30" i="1" s="1"/>
  <c r="K29" i="1"/>
  <c r="H29" i="1" s="1"/>
  <c r="I29" i="1"/>
  <c r="F29" i="1"/>
  <c r="E29" i="1"/>
  <c r="J29" i="1" s="1"/>
  <c r="K28" i="1"/>
  <c r="H28" i="1" s="1"/>
  <c r="I28" i="1"/>
  <c r="K27" i="1"/>
  <c r="H27" i="1" s="1"/>
  <c r="I27" i="1"/>
  <c r="K26" i="1"/>
  <c r="J26" i="1"/>
  <c r="I26" i="1"/>
  <c r="H26" i="1"/>
  <c r="G26" i="1"/>
  <c r="F26" i="1"/>
  <c r="E26" i="1"/>
  <c r="K25" i="1"/>
  <c r="I25" i="1"/>
  <c r="H25" i="1"/>
  <c r="G25" i="1"/>
  <c r="F25" i="1"/>
  <c r="E25" i="1"/>
  <c r="J25" i="1" s="1"/>
  <c r="K24" i="1"/>
  <c r="H24" i="1" s="1"/>
  <c r="I24" i="1"/>
  <c r="K23" i="1"/>
  <c r="F23" i="1" s="1"/>
  <c r="I23" i="1"/>
  <c r="K22" i="1"/>
  <c r="H22" i="1" s="1"/>
  <c r="I22" i="1"/>
  <c r="K21" i="1"/>
  <c r="F21" i="1" s="1"/>
  <c r="I21" i="1"/>
  <c r="H21" i="1"/>
  <c r="K20" i="1"/>
  <c r="H20" i="1" s="1"/>
  <c r="I20" i="1"/>
  <c r="F20" i="1"/>
  <c r="K19" i="1"/>
  <c r="E19" i="1" s="1"/>
  <c r="J19" i="1" s="1"/>
  <c r="I19" i="1"/>
  <c r="K18" i="1"/>
  <c r="G18" i="1" s="1"/>
  <c r="I18" i="1"/>
  <c r="G10" i="1"/>
  <c r="C11" i="3" s="1"/>
  <c r="E10" i="1"/>
  <c r="C9" i="3" s="1"/>
  <c r="BZ8" i="6" l="1"/>
  <c r="AI8" i="6"/>
  <c r="G22" i="1"/>
  <c r="E28" i="1"/>
  <c r="J28" i="1" s="1"/>
  <c r="F28" i="1"/>
  <c r="G28" i="1"/>
  <c r="S14" i="6"/>
  <c r="AF14" i="6"/>
  <c r="T14" i="6"/>
  <c r="E27" i="1"/>
  <c r="J27" i="1" s="1"/>
  <c r="F27" i="1"/>
  <c r="G27" i="1"/>
  <c r="AX13" i="6"/>
  <c r="AI9" i="6"/>
  <c r="BI9" i="6"/>
  <c r="BK9" i="6"/>
  <c r="BL9" i="6"/>
  <c r="BM9" i="6"/>
  <c r="H23" i="1"/>
  <c r="BN9" i="6"/>
  <c r="BO9" i="6"/>
  <c r="W7" i="6"/>
  <c r="G24" i="1"/>
  <c r="E24" i="1"/>
  <c r="J24" i="1" s="1"/>
  <c r="BF10" i="6"/>
  <c r="BG10" i="6"/>
  <c r="BH10" i="6"/>
  <c r="BB10" i="6"/>
  <c r="AI10" i="6"/>
  <c r="E20" i="1"/>
  <c r="J20" i="1" s="1"/>
  <c r="G20" i="1"/>
  <c r="E22" i="1"/>
  <c r="J22" i="1" s="1"/>
  <c r="F22" i="1"/>
  <c r="G29" i="1"/>
  <c r="F19" i="1"/>
  <c r="G19" i="1"/>
  <c r="H19" i="1"/>
  <c r="G21" i="1"/>
  <c r="G23" i="1"/>
  <c r="T25" i="6"/>
  <c r="S25" i="6"/>
  <c r="U25" i="6"/>
  <c r="AA25" i="6"/>
  <c r="AB25" i="6"/>
  <c r="AC25" i="6"/>
  <c r="W25" i="6"/>
  <c r="F39" i="1"/>
  <c r="AV25" i="6"/>
  <c r="BX25" i="6"/>
  <c r="AW25" i="6"/>
  <c r="BY25" i="6"/>
  <c r="X25" i="6"/>
  <c r="BE25" i="6"/>
  <c r="CE25" i="6"/>
  <c r="Y25" i="6"/>
  <c r="BF25" i="6"/>
  <c r="CF25" i="6"/>
  <c r="BL25" i="6"/>
  <c r="AN25" i="6"/>
  <c r="BN25" i="6"/>
  <c r="AO25" i="6"/>
  <c r="BO25" i="6"/>
  <c r="BK25" i="6"/>
  <c r="AQ25" i="6"/>
  <c r="BP25" i="6"/>
  <c r="AR25" i="6"/>
  <c r="BQ25" i="6"/>
  <c r="AE25" i="6"/>
  <c r="AS25" i="6"/>
  <c r="BR25" i="6"/>
  <c r="AO24" i="6"/>
  <c r="BQ24" i="6"/>
  <c r="AT24" i="6"/>
  <c r="BW24" i="6"/>
  <c r="AV24" i="6"/>
  <c r="BX24" i="6"/>
  <c r="BZ24" i="6"/>
  <c r="AW24" i="6"/>
  <c r="BY24" i="6"/>
  <c r="AY24" i="6"/>
  <c r="CA24" i="6"/>
  <c r="AZ24" i="6"/>
  <c r="CC24" i="6"/>
  <c r="S24" i="6"/>
  <c r="BA24" i="6"/>
  <c r="CG24" i="6"/>
  <c r="T24" i="6"/>
  <c r="BB24" i="6"/>
  <c r="E37" i="1"/>
  <c r="J37" i="1" s="1"/>
  <c r="X23" i="6"/>
  <c r="BT23" i="6"/>
  <c r="BU23" i="6"/>
  <c r="Y23" i="6"/>
  <c r="BV23" i="6"/>
  <c r="AB23" i="6"/>
  <c r="BW23" i="6"/>
  <c r="AF23" i="6"/>
  <c r="BX23" i="6"/>
  <c r="AP23" i="6"/>
  <c r="CD23" i="6"/>
  <c r="AT23" i="6"/>
  <c r="AM23" i="6"/>
  <c r="AU23" i="6"/>
  <c r="BS23" i="6"/>
  <c r="AG23" i="6"/>
  <c r="CA23" i="6"/>
  <c r="CB23" i="6"/>
  <c r="AV23" i="6"/>
  <c r="BY23" i="6"/>
  <c r="AW23" i="6"/>
  <c r="BJ22" i="6"/>
  <c r="BI22" i="6"/>
  <c r="AB22" i="6"/>
  <c r="BK22" i="6"/>
  <c r="AF22" i="6"/>
  <c r="BN22" i="6"/>
  <c r="AG22" i="6"/>
  <c r="BV22" i="6"/>
  <c r="AM22" i="6"/>
  <c r="BW22" i="6"/>
  <c r="AN22" i="6"/>
  <c r="BX22" i="6"/>
  <c r="AE22" i="6"/>
  <c r="AH22" i="6" s="1"/>
  <c r="AO22" i="6"/>
  <c r="CD22" i="6"/>
  <c r="AP22" i="6"/>
  <c r="CE22" i="6"/>
  <c r="BM22" i="6"/>
  <c r="AQ22" i="6"/>
  <c r="CF21" i="6"/>
  <c r="CG21" i="6"/>
  <c r="S21" i="6"/>
  <c r="CH21" i="6"/>
  <c r="CI21" i="6"/>
  <c r="AS21" i="6"/>
  <c r="AT21" i="6"/>
  <c r="AU21" i="6"/>
  <c r="AX21" i="6"/>
  <c r="AY21" i="6"/>
  <c r="BC21" i="6"/>
  <c r="BR21" i="6"/>
  <c r="AR21" i="6"/>
  <c r="AV21" i="6"/>
  <c r="BS21" i="6"/>
  <c r="T21" i="6"/>
  <c r="BU21" i="6"/>
  <c r="CA21" i="6"/>
  <c r="AW21" i="6"/>
  <c r="E34" i="1"/>
  <c r="J34" i="1" s="1"/>
  <c r="AT20" i="6"/>
  <c r="AU20" i="6"/>
  <c r="AV20" i="6"/>
  <c r="AW20" i="6"/>
  <c r="AZ20" i="6"/>
  <c r="BA20" i="6"/>
  <c r="AX20" i="6"/>
  <c r="BC20" i="6"/>
  <c r="BE20" i="6"/>
  <c r="Y15" i="6"/>
  <c r="CG15" i="6"/>
  <c r="AB15" i="6"/>
  <c r="CI15" i="6"/>
  <c r="AQ15" i="6"/>
  <c r="CJ15" i="6"/>
  <c r="AS15" i="6"/>
  <c r="AU15" i="6"/>
  <c r="AV15" i="6"/>
  <c r="AW15" i="6"/>
  <c r="AX15" i="6"/>
  <c r="BV15" i="6"/>
  <c r="BW15" i="6"/>
  <c r="BY15" i="6"/>
  <c r="U15" i="6"/>
  <c r="CC15" i="6"/>
  <c r="CD15" i="6"/>
  <c r="CE15" i="6"/>
  <c r="AA15" i="6"/>
  <c r="AY15" i="6"/>
  <c r="T15" i="6"/>
  <c r="W15" i="6"/>
  <c r="AU14" i="6"/>
  <c r="BR14" i="6"/>
  <c r="AV14" i="6"/>
  <c r="BS14" i="6"/>
  <c r="W14" i="6"/>
  <c r="AZ14" i="6"/>
  <c r="BX14" i="6"/>
  <c r="X14" i="6"/>
  <c r="BA14" i="6"/>
  <c r="CA14" i="6"/>
  <c r="Y14" i="6"/>
  <c r="BB14" i="6"/>
  <c r="CB14" i="6"/>
  <c r="AY14" i="6"/>
  <c r="AA14" i="6"/>
  <c r="BD14" i="6"/>
  <c r="CC14" i="6"/>
  <c r="U14" i="6"/>
  <c r="V14" i="6" s="1"/>
  <c r="AL14" i="6" s="1"/>
  <c r="AB14" i="6"/>
  <c r="BF14" i="6"/>
  <c r="CD14" i="6"/>
  <c r="BV14" i="6"/>
  <c r="AC14" i="6"/>
  <c r="BG14" i="6"/>
  <c r="CE14" i="6"/>
  <c r="AE14" i="6"/>
  <c r="BH14" i="6"/>
  <c r="BZ13" i="6"/>
  <c r="AT13" i="6"/>
  <c r="BF12" i="6"/>
  <c r="CE12" i="6"/>
  <c r="CF12" i="6"/>
  <c r="CG12" i="6"/>
  <c r="AM12" i="6"/>
  <c r="AO12" i="6"/>
  <c r="AP12" i="6"/>
  <c r="AT11" i="6"/>
  <c r="AU11" i="6"/>
  <c r="BR11" i="6"/>
  <c r="BT11" i="6"/>
  <c r="AV11" i="6"/>
  <c r="AO9" i="6"/>
  <c r="BS9" i="6"/>
  <c r="AP9" i="6"/>
  <c r="BT9" i="6"/>
  <c r="AQ9" i="6"/>
  <c r="CC9" i="6"/>
  <c r="BR9" i="6"/>
  <c r="AR9" i="6"/>
  <c r="CD9" i="6"/>
  <c r="AS9" i="6"/>
  <c r="CE9" i="6"/>
  <c r="AU9" i="6"/>
  <c r="CF9" i="6"/>
  <c r="AV9" i="6"/>
  <c r="AX9" i="6"/>
  <c r="CJ9" i="6"/>
  <c r="BD9" i="6"/>
  <c r="CH9" i="6"/>
  <c r="AW9" i="6"/>
  <c r="BE9" i="6"/>
  <c r="BQ9" i="6"/>
  <c r="CI9" i="6"/>
  <c r="BF9" i="6"/>
  <c r="BV8" i="6"/>
  <c r="BZ7" i="6"/>
  <c r="AT7" i="6"/>
  <c r="AX7" i="6"/>
  <c r="BB7" i="6"/>
  <c r="BN7" i="6"/>
  <c r="BO7" i="6"/>
  <c r="CA6" i="6"/>
  <c r="CI6" i="6"/>
  <c r="CJ6" i="6"/>
  <c r="AM6" i="6"/>
  <c r="AN6" i="6"/>
  <c r="AO6" i="6"/>
  <c r="AQ6" i="6"/>
  <c r="AR6" i="6"/>
  <c r="AS6" i="6"/>
  <c r="AP6" i="6"/>
  <c r="AT6" i="6"/>
  <c r="H40" i="2"/>
  <c r="G31" i="3"/>
  <c r="G35" i="3"/>
  <c r="G39" i="2"/>
  <c r="H33" i="3" s="1"/>
  <c r="I39" i="2"/>
  <c r="H37" i="3" s="1"/>
  <c r="H39" i="2"/>
  <c r="F39" i="2"/>
  <c r="H31" i="3" s="1"/>
  <c r="AZ11" i="6"/>
  <c r="AB11" i="6"/>
  <c r="BF11" i="6"/>
  <c r="CH11" i="6"/>
  <c r="BD11" i="6"/>
  <c r="AE11" i="6"/>
  <c r="BG11" i="6"/>
  <c r="CI11" i="6"/>
  <c r="BU11" i="6"/>
  <c r="AW11" i="6"/>
  <c r="BX11" i="6"/>
  <c r="CA11" i="6"/>
  <c r="BC11" i="6"/>
  <c r="Y11" i="6"/>
  <c r="CC11" i="6"/>
  <c r="AA11" i="6"/>
  <c r="BE11" i="6"/>
  <c r="CG11" i="6"/>
  <c r="AF11" i="6"/>
  <c r="BH11" i="6"/>
  <c r="CJ11" i="6"/>
  <c r="BV11" i="6"/>
  <c r="AX11" i="6"/>
  <c r="U11" i="6"/>
  <c r="W11" i="6"/>
  <c r="CB11" i="6"/>
  <c r="AG11" i="6"/>
  <c r="BL11" i="6"/>
  <c r="BM11" i="6"/>
  <c r="AM11" i="6"/>
  <c r="BN11" i="6"/>
  <c r="BY11" i="6"/>
  <c r="AQ11" i="6"/>
  <c r="BO11" i="6"/>
  <c r="T11" i="6"/>
  <c r="BA11" i="6"/>
  <c r="AR11" i="6"/>
  <c r="BP11" i="6"/>
  <c r="BW11" i="6"/>
  <c r="BB11" i="6"/>
  <c r="X11" i="6"/>
  <c r="AS11" i="6"/>
  <c r="F24" i="1"/>
  <c r="AS10" i="6"/>
  <c r="CH10" i="6"/>
  <c r="AU10" i="6"/>
  <c r="AY10" i="6"/>
  <c r="AZ10" i="6"/>
  <c r="BA10" i="6"/>
  <c r="BU10" i="6"/>
  <c r="BV10" i="6"/>
  <c r="T10" i="6"/>
  <c r="BW10" i="6"/>
  <c r="BX10" i="6"/>
  <c r="X10" i="6"/>
  <c r="BY10" i="6"/>
  <c r="CA10" i="6"/>
  <c r="AC10" i="6"/>
  <c r="CB10" i="6"/>
  <c r="AE10" i="6"/>
  <c r="CC10" i="6"/>
  <c r="U10" i="6"/>
  <c r="AF10" i="6"/>
  <c r="CE10" i="6"/>
  <c r="AB10" i="6"/>
  <c r="AG10" i="6"/>
  <c r="CF10" i="6"/>
  <c r="AR10" i="6"/>
  <c r="S9" i="6"/>
  <c r="T9" i="6"/>
  <c r="U9" i="6"/>
  <c r="E23" i="1"/>
  <c r="J23" i="1" s="1"/>
  <c r="AC9" i="6"/>
  <c r="AE9" i="6"/>
  <c r="AF9" i="6"/>
  <c r="AG9" i="6"/>
  <c r="BJ9" i="6"/>
  <c r="CG9" i="6"/>
  <c r="AT9" i="6"/>
  <c r="BP9" i="6"/>
  <c r="W9" i="6"/>
  <c r="AY9" i="6"/>
  <c r="BU9" i="6"/>
  <c r="X9" i="6"/>
  <c r="AZ9" i="6"/>
  <c r="BV9" i="6"/>
  <c r="Y9" i="6"/>
  <c r="BA9" i="6"/>
  <c r="BW9" i="6"/>
  <c r="AA9" i="6"/>
  <c r="BB9" i="6"/>
  <c r="BX9" i="6"/>
  <c r="AB9" i="6"/>
  <c r="BC9" i="6"/>
  <c r="BY9" i="6"/>
  <c r="X8" i="6"/>
  <c r="CB8" i="6"/>
  <c r="CC8" i="6"/>
  <c r="AG8" i="6"/>
  <c r="CD8" i="6"/>
  <c r="AQ8" i="6"/>
  <c r="CE8" i="6"/>
  <c r="AR8" i="6"/>
  <c r="AS8" i="6"/>
  <c r="AT8" i="6"/>
  <c r="BW8" i="6"/>
  <c r="BX8" i="6"/>
  <c r="W8" i="6"/>
  <c r="BY8" i="6"/>
  <c r="CA8" i="6"/>
  <c r="AE8" i="6"/>
  <c r="AV8" i="6"/>
  <c r="AZ8" i="6"/>
  <c r="BA8" i="6"/>
  <c r="BC8" i="6"/>
  <c r="AF8" i="6"/>
  <c r="BG8" i="6"/>
  <c r="BP8" i="6"/>
  <c r="BT8" i="6"/>
  <c r="E21" i="1"/>
  <c r="J21" i="1" s="1"/>
  <c r="AU7" i="6"/>
  <c r="AV7" i="6"/>
  <c r="AW7" i="6"/>
  <c r="BP7" i="6"/>
  <c r="BQ7" i="6"/>
  <c r="Y7" i="6"/>
  <c r="AB7" i="6"/>
  <c r="BV7" i="6"/>
  <c r="BW7" i="6"/>
  <c r="X7" i="6"/>
  <c r="BS7" i="6"/>
  <c r="BT7" i="6"/>
  <c r="AA7" i="6"/>
  <c r="BU7" i="6"/>
  <c r="AM7" i="6"/>
  <c r="BX7" i="6"/>
  <c r="AQ7" i="6"/>
  <c r="BY7" i="6"/>
  <c r="AR7" i="6"/>
  <c r="X6" i="6"/>
  <c r="Y6" i="6"/>
  <c r="AV6" i="6"/>
  <c r="BZ6" i="6"/>
  <c r="BC6" i="6"/>
  <c r="BK6" i="6"/>
  <c r="BL6" i="6"/>
  <c r="S6" i="6"/>
  <c r="BM6" i="6"/>
  <c r="T6" i="6"/>
  <c r="BN6" i="6"/>
  <c r="U6" i="6"/>
  <c r="BO6" i="6"/>
  <c r="W6" i="6"/>
  <c r="BF5" i="6"/>
  <c r="BG5" i="6"/>
  <c r="AX5" i="6"/>
  <c r="AW5" i="6"/>
  <c r="F18" i="1"/>
  <c r="H18" i="1"/>
  <c r="AI4" i="6"/>
  <c r="E18" i="1"/>
  <c r="J18" i="1" s="1"/>
  <c r="BG4" i="6"/>
  <c r="AS4" i="6"/>
  <c r="BF4" i="6"/>
  <c r="CH4" i="6"/>
  <c r="CI4" i="6"/>
  <c r="AT4" i="6"/>
  <c r="BH4" i="6"/>
  <c r="CJ4" i="6"/>
  <c r="AR4" i="6"/>
  <c r="AD39" i="6"/>
  <c r="AH41" i="6"/>
  <c r="V30" i="6"/>
  <c r="AL30" i="6" s="1"/>
  <c r="Z43" i="6"/>
  <c r="Z41" i="6"/>
  <c r="V32" i="6"/>
  <c r="AL32" i="6" s="1"/>
  <c r="V21" i="6"/>
  <c r="AL21" i="6" s="1"/>
  <c r="CE37" i="6"/>
  <c r="BK37" i="6"/>
  <c r="AQ37" i="6"/>
  <c r="U37" i="6"/>
  <c r="CD37" i="6"/>
  <c r="BJ37" i="6"/>
  <c r="AP37" i="6"/>
  <c r="T37" i="6"/>
  <c r="CB37" i="6"/>
  <c r="BH37" i="6"/>
  <c r="AN37" i="6"/>
  <c r="BY37" i="6"/>
  <c r="BB37" i="6"/>
  <c r="AC37" i="6"/>
  <c r="BV37" i="6"/>
  <c r="AY37" i="6"/>
  <c r="CA37" i="6"/>
  <c r="BA37" i="6"/>
  <c r="Y37" i="6"/>
  <c r="AZ37" i="6"/>
  <c r="X37" i="6"/>
  <c r="BX37" i="6"/>
  <c r="AX37" i="6"/>
  <c r="W37" i="6"/>
  <c r="BU37" i="6"/>
  <c r="AV37" i="6"/>
  <c r="S37" i="6"/>
  <c r="BG37" i="6"/>
  <c r="AA37" i="6"/>
  <c r="BF37" i="6"/>
  <c r="BE37" i="6"/>
  <c r="CI37" i="6"/>
  <c r="BC37" i="6"/>
  <c r="BL37" i="6"/>
  <c r="AS37" i="6"/>
  <c r="BI37" i="6"/>
  <c r="AR37" i="6"/>
  <c r="BD37" i="6"/>
  <c r="AW37" i="6"/>
  <c r="AU37" i="6"/>
  <c r="AT37" i="6"/>
  <c r="CJ37" i="6"/>
  <c r="CH37" i="6"/>
  <c r="BS37" i="6"/>
  <c r="BP37" i="6"/>
  <c r="CG37" i="6"/>
  <c r="CF37" i="6"/>
  <c r="AB37" i="6"/>
  <c r="BR37" i="6"/>
  <c r="BM37" i="6"/>
  <c r="AO37" i="6"/>
  <c r="AM37" i="6"/>
  <c r="AF37" i="6"/>
  <c r="AE37" i="6"/>
  <c r="BQ37" i="6"/>
  <c r="BO37" i="6"/>
  <c r="BN37" i="6"/>
  <c r="AG37" i="6"/>
  <c r="BW37" i="6"/>
  <c r="BN19" i="6"/>
  <c r="F38" i="5"/>
  <c r="BT37" i="6"/>
  <c r="L74" i="5"/>
  <c r="D78" i="5"/>
  <c r="M74" i="5"/>
  <c r="E78" i="5"/>
  <c r="CC37" i="6"/>
  <c r="BS48" i="6"/>
  <c r="AY48" i="6"/>
  <c r="BR48" i="6"/>
  <c r="AX48" i="6"/>
  <c r="CJ48" i="6"/>
  <c r="BP48" i="6"/>
  <c r="AV48" i="6"/>
  <c r="BT48" i="6"/>
  <c r="AT48" i="6"/>
  <c r="BQ48" i="6"/>
  <c r="AS48" i="6"/>
  <c r="BO48" i="6"/>
  <c r="AR48" i="6"/>
  <c r="BN48" i="6"/>
  <c r="AQ48" i="6"/>
  <c r="BM48" i="6"/>
  <c r="AP48" i="6"/>
  <c r="CH48" i="6"/>
  <c r="BF48" i="6"/>
  <c r="CG48" i="6"/>
  <c r="BE48" i="6"/>
  <c r="CF48" i="6"/>
  <c r="BD48" i="6"/>
  <c r="CD48" i="6"/>
  <c r="BB48" i="6"/>
  <c r="BJ48" i="6"/>
  <c r="BI48" i="6"/>
  <c r="BH48" i="6"/>
  <c r="BC48" i="6"/>
  <c r="BZ48" i="6"/>
  <c r="BK48" i="6"/>
  <c r="BY48" i="6"/>
  <c r="BX48" i="6"/>
  <c r="BW48" i="6"/>
  <c r="BL48" i="6"/>
  <c r="BV48" i="6"/>
  <c r="BU48" i="6"/>
  <c r="CE48" i="6"/>
  <c r="AW48" i="6"/>
  <c r="AU48" i="6"/>
  <c r="AN48" i="6"/>
  <c r="AL48" i="6"/>
  <c r="CC48" i="6"/>
  <c r="AM48" i="6"/>
  <c r="CB48" i="6"/>
  <c r="CA48" i="6"/>
  <c r="BG48" i="6"/>
  <c r="BA48" i="6"/>
  <c r="AZ48" i="6"/>
  <c r="AO48" i="6"/>
  <c r="AD35" i="6"/>
  <c r="I39" i="5"/>
  <c r="E39" i="5" s="1"/>
  <c r="E34" i="5"/>
  <c r="CG19" i="6"/>
  <c r="BM19" i="6"/>
  <c r="CD19" i="6"/>
  <c r="BJ19" i="6"/>
  <c r="AP19" i="6"/>
  <c r="CI19" i="6"/>
  <c r="BL19" i="6"/>
  <c r="AQ19" i="6"/>
  <c r="T19" i="6"/>
  <c r="CH19" i="6"/>
  <c r="BK19" i="6"/>
  <c r="AO19" i="6"/>
  <c r="S19" i="6"/>
  <c r="CF19" i="6"/>
  <c r="BI19" i="6"/>
  <c r="AN19" i="6"/>
  <c r="CA19" i="6"/>
  <c r="BB19" i="6"/>
  <c r="AB19" i="6"/>
  <c r="BA19" i="6"/>
  <c r="AA19" i="6"/>
  <c r="BY19" i="6"/>
  <c r="AZ19" i="6"/>
  <c r="BW19" i="6"/>
  <c r="AX19" i="6"/>
  <c r="X19" i="6"/>
  <c r="CC19" i="6"/>
  <c r="AV19" i="6"/>
  <c r="BV19" i="6"/>
  <c r="CB19" i="6"/>
  <c r="AU19" i="6"/>
  <c r="AS19" i="6"/>
  <c r="BS19" i="6"/>
  <c r="BX19" i="6"/>
  <c r="AT19" i="6"/>
  <c r="BU19" i="6"/>
  <c r="AR19" i="6"/>
  <c r="BT19" i="6"/>
  <c r="AM19" i="6"/>
  <c r="BF19" i="6"/>
  <c r="BC19" i="6"/>
  <c r="AF19" i="6"/>
  <c r="BR19" i="6"/>
  <c r="BQ19" i="6"/>
  <c r="W19" i="6"/>
  <c r="BO19" i="6"/>
  <c r="U19" i="6"/>
  <c r="BE19" i="6"/>
  <c r="AG19" i="6"/>
  <c r="AC19" i="6"/>
  <c r="BP19" i="6"/>
  <c r="BD19" i="6"/>
  <c r="AE19" i="6"/>
  <c r="AY19" i="6"/>
  <c r="AW19" i="6"/>
  <c r="CJ19" i="6"/>
  <c r="CE19" i="6"/>
  <c r="Y19" i="6"/>
  <c r="S76" i="5"/>
  <c r="G79" i="5"/>
  <c r="BG19" i="6"/>
  <c r="J39" i="5"/>
  <c r="F39" i="5" s="1"/>
  <c r="F34" i="5"/>
  <c r="E38" i="5"/>
  <c r="I116" i="5"/>
  <c r="H116" i="5"/>
  <c r="M116" i="5" s="1"/>
  <c r="CI48" i="6"/>
  <c r="F37" i="3"/>
  <c r="F42" i="5"/>
  <c r="BI4" i="6"/>
  <c r="BN5" i="6"/>
  <c r="W17" i="6"/>
  <c r="W5" i="6"/>
  <c r="X17" i="6"/>
  <c r="CB17" i="6"/>
  <c r="CA26" i="6"/>
  <c r="X5" i="6"/>
  <c r="T4" i="6"/>
  <c r="BQ5" i="6"/>
  <c r="CJ13" i="6"/>
  <c r="BP13" i="6"/>
  <c r="AV13" i="6"/>
  <c r="CH13" i="6"/>
  <c r="BN13" i="6"/>
  <c r="BO13" i="6"/>
  <c r="AS13" i="6"/>
  <c r="BM13" i="6"/>
  <c r="AR13" i="6"/>
  <c r="U13" i="6"/>
  <c r="CI13" i="6"/>
  <c r="BL13" i="6"/>
  <c r="AQ13" i="6"/>
  <c r="T13" i="6"/>
  <c r="CF13" i="6"/>
  <c r="BJ13" i="6"/>
  <c r="AO13" i="6"/>
  <c r="CG13" i="6"/>
  <c r="BF13" i="6"/>
  <c r="AE13" i="6"/>
  <c r="AB13" i="6"/>
  <c r="CE13" i="6"/>
  <c r="BE13" i="6"/>
  <c r="CC13" i="6"/>
  <c r="AZ13" i="6"/>
  <c r="X13" i="6"/>
  <c r="CD13" i="6"/>
  <c r="BD13" i="6"/>
  <c r="AC13" i="6"/>
  <c r="BC13" i="6"/>
  <c r="CB13" i="6"/>
  <c r="BB13" i="6"/>
  <c r="AA13" i="6"/>
  <c r="CA13" i="6"/>
  <c r="BA13" i="6"/>
  <c r="Y13" i="6"/>
  <c r="AY13" i="6"/>
  <c r="W13" i="6"/>
  <c r="BM4" i="6"/>
  <c r="BV20" i="6"/>
  <c r="BB20" i="6"/>
  <c r="AF20" i="6"/>
  <c r="BS20" i="6"/>
  <c r="AY20" i="6"/>
  <c r="AC20" i="6"/>
  <c r="CD20" i="6"/>
  <c r="BH20" i="6"/>
  <c r="CC20" i="6"/>
  <c r="BG20" i="6"/>
  <c r="CB20" i="6"/>
  <c r="BF20" i="6"/>
  <c r="CJ20" i="6"/>
  <c r="BK20" i="6"/>
  <c r="AG20" i="6"/>
  <c r="CI20" i="6"/>
  <c r="BJ20" i="6"/>
  <c r="AE20" i="6"/>
  <c r="CH20" i="6"/>
  <c r="BI20" i="6"/>
  <c r="CF20" i="6"/>
  <c r="BD20" i="6"/>
  <c r="AA20" i="6"/>
  <c r="BW20" i="6"/>
  <c r="AR20" i="6"/>
  <c r="BR20" i="6"/>
  <c r="BO20" i="6"/>
  <c r="BU20" i="6"/>
  <c r="AQ20" i="6"/>
  <c r="AO20" i="6"/>
  <c r="BT20" i="6"/>
  <c r="AP20" i="6"/>
  <c r="BN20" i="6"/>
  <c r="BQ20" i="6"/>
  <c r="AN20" i="6"/>
  <c r="BP20" i="6"/>
  <c r="AM20" i="6"/>
  <c r="AB20" i="6"/>
  <c r="S13" i="6"/>
  <c r="CI17" i="6"/>
  <c r="BU13" i="6"/>
  <c r="AT17" i="6"/>
  <c r="S20" i="6"/>
  <c r="BP4" i="6"/>
  <c r="CB12" i="6"/>
  <c r="BH12" i="6"/>
  <c r="AN12" i="6"/>
  <c r="BW12" i="6"/>
  <c r="BB12" i="6"/>
  <c r="AE12" i="6"/>
  <c r="BV12" i="6"/>
  <c r="BA12" i="6"/>
  <c r="BU12" i="6"/>
  <c r="AZ12" i="6"/>
  <c r="AC12" i="6"/>
  <c r="BS12" i="6"/>
  <c r="AX12" i="6"/>
  <c r="AA12" i="6"/>
  <c r="CC12" i="6"/>
  <c r="BC12" i="6"/>
  <c r="X12" i="6"/>
  <c r="AS12" i="6"/>
  <c r="CA12" i="6"/>
  <c r="AY12" i="6"/>
  <c r="W12" i="6"/>
  <c r="BY12" i="6"/>
  <c r="AV12" i="6"/>
  <c r="U12" i="6"/>
  <c r="BR12" i="6"/>
  <c r="AW12" i="6"/>
  <c r="BX12" i="6"/>
  <c r="AU12" i="6"/>
  <c r="T12" i="6"/>
  <c r="BT12" i="6"/>
  <c r="AT12" i="6"/>
  <c r="S12" i="6"/>
  <c r="BQ12" i="6"/>
  <c r="BJ12" i="6"/>
  <c r="BV13" i="6"/>
  <c r="T20" i="6"/>
  <c r="AC26" i="6"/>
  <c r="BQ4" i="6"/>
  <c r="AM5" i="6"/>
  <c r="BV5" i="6"/>
  <c r="BK12" i="6"/>
  <c r="BW13" i="6"/>
  <c r="AV17" i="6"/>
  <c r="BU18" i="6"/>
  <c r="BA18" i="6"/>
  <c r="AE18" i="6"/>
  <c r="BT18" i="6"/>
  <c r="AZ18" i="6"/>
  <c r="BS18" i="6"/>
  <c r="AY18" i="6"/>
  <c r="AC18" i="6"/>
  <c r="CA18" i="6"/>
  <c r="BD18" i="6"/>
  <c r="AB18" i="6"/>
  <c r="BC18" i="6"/>
  <c r="AA18" i="6"/>
  <c r="BY18" i="6"/>
  <c r="BB18" i="6"/>
  <c r="BW18" i="6"/>
  <c r="AW18" i="6"/>
  <c r="X18" i="6"/>
  <c r="BJ18" i="6"/>
  <c r="AG18" i="6"/>
  <c r="CH18" i="6"/>
  <c r="W18" i="6"/>
  <c r="AX18" i="6"/>
  <c r="CJ18" i="6"/>
  <c r="BI18" i="6"/>
  <c r="AF18" i="6"/>
  <c r="BG18" i="6"/>
  <c r="CE18" i="6"/>
  <c r="CD18" i="6"/>
  <c r="CI18" i="6"/>
  <c r="BH18" i="6"/>
  <c r="Y18" i="6"/>
  <c r="CG18" i="6"/>
  <c r="BF18" i="6"/>
  <c r="CF18" i="6"/>
  <c r="BE18" i="6"/>
  <c r="U18" i="6"/>
  <c r="T18" i="6"/>
  <c r="AV18" i="6"/>
  <c r="S18" i="6"/>
  <c r="V18" i="6" s="1"/>
  <c r="AL18" i="6" s="1"/>
  <c r="BQ18" i="6"/>
  <c r="U20" i="6"/>
  <c r="CA20" i="6"/>
  <c r="AE26" i="6"/>
  <c r="AH26" i="6" s="1"/>
  <c r="AM4" i="6"/>
  <c r="BR4" i="6"/>
  <c r="AO5" i="6"/>
  <c r="CH5" i="6"/>
  <c r="BS8" i="6"/>
  <c r="AY8" i="6"/>
  <c r="AC8" i="6"/>
  <c r="BR8" i="6"/>
  <c r="AX8" i="6"/>
  <c r="AB8" i="6"/>
  <c r="BQ8" i="6"/>
  <c r="AW8" i="6"/>
  <c r="AA8" i="6"/>
  <c r="CI8" i="6"/>
  <c r="BO8" i="6"/>
  <c r="AU8" i="6"/>
  <c r="Y8" i="6"/>
  <c r="BN8" i="6"/>
  <c r="AP8" i="6"/>
  <c r="CJ8" i="6"/>
  <c r="AM8" i="6"/>
  <c r="CF8" i="6"/>
  <c r="BH8" i="6"/>
  <c r="BM8" i="6"/>
  <c r="AO8" i="6"/>
  <c r="BK8" i="6"/>
  <c r="BL8" i="6"/>
  <c r="AN8" i="6"/>
  <c r="CH8" i="6"/>
  <c r="BJ8" i="6"/>
  <c r="CG8" i="6"/>
  <c r="BI8" i="6"/>
  <c r="BB8" i="6"/>
  <c r="Y12" i="6"/>
  <c r="BL12" i="6"/>
  <c r="BX13" i="6"/>
  <c r="AW17" i="6"/>
  <c r="BR18" i="6"/>
  <c r="CE20" i="6"/>
  <c r="AM26" i="6"/>
  <c r="BR5" i="6"/>
  <c r="AA26" i="6"/>
  <c r="E43" i="5"/>
  <c r="H115" i="5"/>
  <c r="M115" i="5" s="1"/>
  <c r="BV18" i="6"/>
  <c r="W20" i="6"/>
  <c r="CG20" i="6"/>
  <c r="D77" i="5"/>
  <c r="H74" i="5"/>
  <c r="CF26" i="6"/>
  <c r="BL26" i="6"/>
  <c r="AR26" i="6"/>
  <c r="CE26" i="6"/>
  <c r="BK26" i="6"/>
  <c r="AQ26" i="6"/>
  <c r="U26" i="6"/>
  <c r="CC26" i="6"/>
  <c r="BI26" i="6"/>
  <c r="AO26" i="6"/>
  <c r="S26" i="6"/>
  <c r="BN26" i="6"/>
  <c r="AN26" i="6"/>
  <c r="CH26" i="6"/>
  <c r="BH26" i="6"/>
  <c r="BS26" i="6"/>
  <c r="AT26" i="6"/>
  <c r="BR26" i="6"/>
  <c r="AS26" i="6"/>
  <c r="BQ26" i="6"/>
  <c r="AP26" i="6"/>
  <c r="BO26" i="6"/>
  <c r="BV26" i="6"/>
  <c r="BU26" i="6"/>
  <c r="AG26" i="6"/>
  <c r="BT26" i="6"/>
  <c r="AF26" i="6"/>
  <c r="BM26" i="6"/>
  <c r="BB26" i="6"/>
  <c r="CJ26" i="6"/>
  <c r="BA26" i="6"/>
  <c r="CD26" i="6"/>
  <c r="AZ26" i="6"/>
  <c r="AY26" i="6"/>
  <c r="CI26" i="6"/>
  <c r="AX26" i="6"/>
  <c r="CG26" i="6"/>
  <c r="AW26" i="6"/>
  <c r="AV26" i="6"/>
  <c r="CB26" i="6"/>
  <c r="AU26" i="6"/>
  <c r="CC17" i="6"/>
  <c r="F54" i="5"/>
  <c r="CD4" i="6"/>
  <c r="G32" i="5"/>
  <c r="G73" i="5"/>
  <c r="F103" i="5"/>
  <c r="AO4" i="6"/>
  <c r="CE4" i="6"/>
  <c r="AT5" i="6"/>
  <c r="CD7" i="6"/>
  <c r="BJ7" i="6"/>
  <c r="AP7" i="6"/>
  <c r="T7" i="6"/>
  <c r="CC7" i="6"/>
  <c r="BI7" i="6"/>
  <c r="AO7" i="6"/>
  <c r="S7" i="6"/>
  <c r="CB7" i="6"/>
  <c r="BH7" i="6"/>
  <c r="AN7" i="6"/>
  <c r="BF7" i="6"/>
  <c r="BM7" i="6"/>
  <c r="CH7" i="6"/>
  <c r="BG7" i="6"/>
  <c r="CE7" i="6"/>
  <c r="AC7" i="6"/>
  <c r="CJ7" i="6"/>
  <c r="BL7" i="6"/>
  <c r="AF7" i="6"/>
  <c r="CI7" i="6"/>
  <c r="BK7" i="6"/>
  <c r="AG7" i="6"/>
  <c r="CG7" i="6"/>
  <c r="BE7" i="6"/>
  <c r="AE7" i="6"/>
  <c r="CF7" i="6"/>
  <c r="BD7" i="6"/>
  <c r="BC7" i="6"/>
  <c r="AY7" i="6"/>
  <c r="S8" i="6"/>
  <c r="BD8" i="6"/>
  <c r="CD10" i="6"/>
  <c r="BJ10" i="6"/>
  <c r="AP10" i="6"/>
  <c r="BS10" i="6"/>
  <c r="AX10" i="6"/>
  <c r="AA10" i="6"/>
  <c r="BR10" i="6"/>
  <c r="AW10" i="6"/>
  <c r="BQ10" i="6"/>
  <c r="AV10" i="6"/>
  <c r="Y10" i="6"/>
  <c r="CJ10" i="6"/>
  <c r="BO10" i="6"/>
  <c r="AT10" i="6"/>
  <c r="W10" i="6"/>
  <c r="BT10" i="6"/>
  <c r="AQ10" i="6"/>
  <c r="AM10" i="6"/>
  <c r="BI10" i="6"/>
  <c r="BP10" i="6"/>
  <c r="AO10" i="6"/>
  <c r="BM10" i="6"/>
  <c r="BN10" i="6"/>
  <c r="AN10" i="6"/>
  <c r="CI10" i="6"/>
  <c r="BL10" i="6"/>
  <c r="BK10" i="6"/>
  <c r="BC10" i="6"/>
  <c r="AB12" i="6"/>
  <c r="BN12" i="6"/>
  <c r="AM13" i="6"/>
  <c r="CH15" i="6"/>
  <c r="BN15" i="6"/>
  <c r="AT15" i="6"/>
  <c r="X15" i="6"/>
  <c r="Z15" i="6" s="1"/>
  <c r="CF15" i="6"/>
  <c r="BL15" i="6"/>
  <c r="AR15" i="6"/>
  <c r="CB15" i="6"/>
  <c r="BF15" i="6"/>
  <c r="CA15" i="6"/>
  <c r="BE15" i="6"/>
  <c r="AG15" i="6"/>
  <c r="BD15" i="6"/>
  <c r="AF15" i="6"/>
  <c r="BX15" i="6"/>
  <c r="BB15" i="6"/>
  <c r="BR15" i="6"/>
  <c r="AP15" i="6"/>
  <c r="BQ15" i="6"/>
  <c r="AO15" i="6"/>
  <c r="BO15" i="6"/>
  <c r="AM15" i="6"/>
  <c r="BJ15" i="6"/>
  <c r="AE15" i="6"/>
  <c r="BP15" i="6"/>
  <c r="AN15" i="6"/>
  <c r="BI15" i="6"/>
  <c r="BM15" i="6"/>
  <c r="BK15" i="6"/>
  <c r="AC15" i="6"/>
  <c r="BG15" i="6"/>
  <c r="AZ17" i="6"/>
  <c r="BX18" i="6"/>
  <c r="X20" i="6"/>
  <c r="BD26" i="6"/>
  <c r="P74" i="5"/>
  <c r="CF5" i="6"/>
  <c r="BL5" i="6"/>
  <c r="AR5" i="6"/>
  <c r="CE5" i="6"/>
  <c r="AQ5" i="6"/>
  <c r="U5" i="6"/>
  <c r="CD5" i="6"/>
  <c r="BJ5" i="6"/>
  <c r="AP5" i="6"/>
  <c r="T5" i="6"/>
  <c r="CB5" i="6"/>
  <c r="BH5" i="6"/>
  <c r="AN5" i="6"/>
  <c r="CG5" i="6"/>
  <c r="BE5" i="6"/>
  <c r="AE5" i="6"/>
  <c r="BB5" i="6"/>
  <c r="BW5" i="6"/>
  <c r="AY5" i="6"/>
  <c r="CC5" i="6"/>
  <c r="BD5" i="6"/>
  <c r="AB5" i="6"/>
  <c r="Y5" i="6"/>
  <c r="CA5" i="6"/>
  <c r="BC5" i="6"/>
  <c r="AC5" i="6"/>
  <c r="BY5" i="6"/>
  <c r="BA5" i="6"/>
  <c r="AA5" i="6"/>
  <c r="BX5" i="6"/>
  <c r="AZ5" i="6"/>
  <c r="S5" i="6"/>
  <c r="CA17" i="6"/>
  <c r="T26" i="6"/>
  <c r="BZ26" i="6"/>
  <c r="AD32" i="6"/>
  <c r="BJ4" i="6"/>
  <c r="BO5" i="6"/>
  <c r="W26" i="6"/>
  <c r="F59" i="5"/>
  <c r="BK4" i="6"/>
  <c r="BL4" i="6"/>
  <c r="AF5" i="6"/>
  <c r="BR13" i="6"/>
  <c r="AA17" i="6"/>
  <c r="CG17" i="6"/>
  <c r="Y26" i="6"/>
  <c r="F63" i="5"/>
  <c r="BN4" i="6"/>
  <c r="BS5" i="6"/>
  <c r="AF17" i="6"/>
  <c r="BX20" i="6"/>
  <c r="BU5" i="6"/>
  <c r="AG13" i="6"/>
  <c r="AU17" i="6"/>
  <c r="H38" i="5"/>
  <c r="D38" i="5" s="1"/>
  <c r="E103" i="5"/>
  <c r="AN4" i="6"/>
  <c r="CI5" i="6"/>
  <c r="BY13" i="6"/>
  <c r="F31" i="3"/>
  <c r="R48" i="5"/>
  <c r="F48" i="5" s="1"/>
  <c r="E64" i="5"/>
  <c r="D73" i="5"/>
  <c r="F78" i="5"/>
  <c r="J74" i="5"/>
  <c r="F74" i="5" s="1"/>
  <c r="P76" i="5"/>
  <c r="G103" i="5"/>
  <c r="AP4" i="6"/>
  <c r="AU5" i="6"/>
  <c r="AZ7" i="6"/>
  <c r="T8" i="6"/>
  <c r="BE8" i="6"/>
  <c r="BD10" i="6"/>
  <c r="AF12" i="6"/>
  <c r="BO12" i="6"/>
  <c r="AN13" i="6"/>
  <c r="BH15" i="6"/>
  <c r="CB18" i="6"/>
  <c r="Y20" i="6"/>
  <c r="CE21" i="6"/>
  <c r="AQ21" i="6"/>
  <c r="U21" i="6"/>
  <c r="CB21" i="6"/>
  <c r="BH21" i="6"/>
  <c r="AN21" i="6"/>
  <c r="BX21" i="6"/>
  <c r="BB21" i="6"/>
  <c r="BW21" i="6"/>
  <c r="BA21" i="6"/>
  <c r="AC21" i="6"/>
  <c r="BV21" i="6"/>
  <c r="AZ21" i="6"/>
  <c r="AB21" i="6"/>
  <c r="BT21" i="6"/>
  <c r="BP21" i="6"/>
  <c r="AP21" i="6"/>
  <c r="BO21" i="6"/>
  <c r="AO21" i="6"/>
  <c r="BN21" i="6"/>
  <c r="AM21" i="6"/>
  <c r="BL21" i="6"/>
  <c r="BQ21" i="6"/>
  <c r="AG21" i="6"/>
  <c r="BM21" i="6"/>
  <c r="AF21" i="6"/>
  <c r="AA21" i="6"/>
  <c r="X21" i="6"/>
  <c r="BD21" i="6"/>
  <c r="BJ21" i="6"/>
  <c r="AE21" i="6"/>
  <c r="AH21" i="6" s="1"/>
  <c r="BI21" i="6"/>
  <c r="BE21" i="6"/>
  <c r="BG21" i="6"/>
  <c r="BF21" i="6"/>
  <c r="Y21" i="6"/>
  <c r="CJ21" i="6"/>
  <c r="W21" i="6"/>
  <c r="Z21" i="6" s="1"/>
  <c r="BY21" i="6"/>
  <c r="BE26" i="6"/>
  <c r="O74" i="5"/>
  <c r="CF17" i="6"/>
  <c r="BL17" i="6"/>
  <c r="AR17" i="6"/>
  <c r="CE17" i="6"/>
  <c r="BK17" i="6"/>
  <c r="AQ17" i="6"/>
  <c r="U17" i="6"/>
  <c r="CD17" i="6"/>
  <c r="BJ17" i="6"/>
  <c r="AP17" i="6"/>
  <c r="T17" i="6"/>
  <c r="BC17" i="6"/>
  <c r="BY17" i="6"/>
  <c r="BB17" i="6"/>
  <c r="AC17" i="6"/>
  <c r="BX17" i="6"/>
  <c r="BA17" i="6"/>
  <c r="AB17" i="6"/>
  <c r="BV17" i="6"/>
  <c r="AY17" i="6"/>
  <c r="BT17" i="6"/>
  <c r="AS17" i="6"/>
  <c r="AG17" i="6"/>
  <c r="BS17" i="6"/>
  <c r="AO17" i="6"/>
  <c r="BQ17" i="6"/>
  <c r="BN17" i="6"/>
  <c r="BR17" i="6"/>
  <c r="AN17" i="6"/>
  <c r="AM17" i="6"/>
  <c r="BP17" i="6"/>
  <c r="BO17" i="6"/>
  <c r="BM17" i="6"/>
  <c r="BI17" i="6"/>
  <c r="R8" i="5"/>
  <c r="F8" i="5" s="1"/>
  <c r="R73" i="5"/>
  <c r="BI5" i="6"/>
  <c r="BU17" i="6"/>
  <c r="BX26" i="6"/>
  <c r="I119" i="5"/>
  <c r="H19" i="2" s="1"/>
  <c r="H119" i="5"/>
  <c r="BM5" i="6"/>
  <c r="S17" i="6"/>
  <c r="BW17" i="6"/>
  <c r="BY26" i="6"/>
  <c r="BW4" i="6"/>
  <c r="BC4" i="6"/>
  <c r="AG4" i="6"/>
  <c r="BV4" i="6"/>
  <c r="BB4" i="6"/>
  <c r="AF4" i="6"/>
  <c r="BU4" i="6"/>
  <c r="BA4" i="6"/>
  <c r="AE4" i="6"/>
  <c r="BS4" i="6"/>
  <c r="AY4" i="6"/>
  <c r="AC4" i="6"/>
  <c r="CC4" i="6"/>
  <c r="BE4" i="6"/>
  <c r="AA4" i="6"/>
  <c r="X4" i="6"/>
  <c r="BT4" i="6"/>
  <c r="U4" i="6"/>
  <c r="CB4" i="6"/>
  <c r="BD4" i="6"/>
  <c r="CA4" i="6"/>
  <c r="AZ4" i="6"/>
  <c r="Y4" i="6"/>
  <c r="AX4" i="6"/>
  <c r="AU4" i="6"/>
  <c r="BY4" i="6"/>
  <c r="AW4" i="6"/>
  <c r="W4" i="6"/>
  <c r="BX4" i="6"/>
  <c r="AV4" i="6"/>
  <c r="S4" i="6"/>
  <c r="BP5" i="6"/>
  <c r="Y17" i="6"/>
  <c r="X26" i="6"/>
  <c r="AB4" i="6"/>
  <c r="AG5" i="6"/>
  <c r="BS13" i="6"/>
  <c r="AE17" i="6"/>
  <c r="CH17" i="6"/>
  <c r="BM20" i="6"/>
  <c r="BT13" i="6"/>
  <c r="V27" i="6"/>
  <c r="AL27" i="6" s="1"/>
  <c r="F12" i="5"/>
  <c r="BO4" i="6"/>
  <c r="BT5" i="6"/>
  <c r="AF13" i="6"/>
  <c r="CJ17" i="6"/>
  <c r="BY20" i="6"/>
  <c r="AB26" i="6"/>
  <c r="G33" i="3"/>
  <c r="F73" i="5"/>
  <c r="AS5" i="6"/>
  <c r="BM12" i="6"/>
  <c r="AX17" i="6"/>
  <c r="E32" i="5"/>
  <c r="E73" i="5"/>
  <c r="H76" i="5"/>
  <c r="D76" i="5" s="1"/>
  <c r="K74" i="5"/>
  <c r="G78" i="5"/>
  <c r="Q76" i="5"/>
  <c r="R76" i="5" s="1"/>
  <c r="F76" i="5" s="1"/>
  <c r="AQ4" i="6"/>
  <c r="CG4" i="6"/>
  <c r="AV5" i="6"/>
  <c r="BU6" i="6"/>
  <c r="BA6" i="6"/>
  <c r="AE6" i="6"/>
  <c r="BT6" i="6"/>
  <c r="AZ6" i="6"/>
  <c r="BS6" i="6"/>
  <c r="AY6" i="6"/>
  <c r="AC6" i="6"/>
  <c r="BQ6" i="6"/>
  <c r="AW6" i="6"/>
  <c r="AA6" i="6"/>
  <c r="CH6" i="6"/>
  <c r="BJ6" i="6"/>
  <c r="CE6" i="6"/>
  <c r="BG6" i="6"/>
  <c r="AG6" i="6"/>
  <c r="BE6" i="6"/>
  <c r="BD6" i="6"/>
  <c r="CG6" i="6"/>
  <c r="BI6" i="6"/>
  <c r="CC6" i="6"/>
  <c r="CB6" i="6"/>
  <c r="CF6" i="6"/>
  <c r="BH6" i="6"/>
  <c r="CD6" i="6"/>
  <c r="BF6" i="6"/>
  <c r="AF6" i="6"/>
  <c r="AB6" i="6"/>
  <c r="BB6" i="6"/>
  <c r="U7" i="6"/>
  <c r="BA7" i="6"/>
  <c r="U8" i="6"/>
  <c r="BF8" i="6"/>
  <c r="S10" i="6"/>
  <c r="BE10" i="6"/>
  <c r="AG12" i="6"/>
  <c r="BP12" i="6"/>
  <c r="AP13" i="6"/>
  <c r="S15" i="6"/>
  <c r="BS15" i="6"/>
  <c r="BE17" i="6"/>
  <c r="AM18" i="6"/>
  <c r="CC18" i="6"/>
  <c r="AS20" i="6"/>
  <c r="BF26" i="6"/>
  <c r="BS29" i="6"/>
  <c r="AY29" i="6"/>
  <c r="AC29" i="6"/>
  <c r="BR29" i="6"/>
  <c r="AX29" i="6"/>
  <c r="AB29" i="6"/>
  <c r="CJ29" i="6"/>
  <c r="BP29" i="6"/>
  <c r="AV29" i="6"/>
  <c r="CG29" i="6"/>
  <c r="BJ29" i="6"/>
  <c r="AM29" i="6"/>
  <c r="CD29" i="6"/>
  <c r="BG29" i="6"/>
  <c r="CE29" i="6"/>
  <c r="BE29" i="6"/>
  <c r="CC29" i="6"/>
  <c r="BD29" i="6"/>
  <c r="AA29" i="6"/>
  <c r="CB29" i="6"/>
  <c r="BC29" i="6"/>
  <c r="Y29" i="6"/>
  <c r="BA29" i="6"/>
  <c r="W29" i="6"/>
  <c r="BI29" i="6"/>
  <c r="BH29" i="6"/>
  <c r="U29" i="6"/>
  <c r="BF29" i="6"/>
  <c r="T29" i="6"/>
  <c r="CI29" i="6"/>
  <c r="AZ29" i="6"/>
  <c r="BL29" i="6"/>
  <c r="AT16" i="6"/>
  <c r="AU16" i="6"/>
  <c r="CC16" i="6"/>
  <c r="S29" i="6"/>
  <c r="V29" i="6" s="1"/>
  <c r="AL29" i="6" s="1"/>
  <c r="BN29" i="6"/>
  <c r="CG35" i="6"/>
  <c r="BM35" i="6"/>
  <c r="AS35" i="6"/>
  <c r="W35" i="6"/>
  <c r="CF35" i="6"/>
  <c r="BL35" i="6"/>
  <c r="AR35" i="6"/>
  <c r="CD35" i="6"/>
  <c r="BJ35" i="6"/>
  <c r="AP35" i="6"/>
  <c r="T35" i="6"/>
  <c r="CA35" i="6"/>
  <c r="BD35" i="6"/>
  <c r="AE35" i="6"/>
  <c r="BX35" i="6"/>
  <c r="BA35" i="6"/>
  <c r="AB35" i="6"/>
  <c r="BO35" i="6"/>
  <c r="AM35" i="6"/>
  <c r="BN35" i="6"/>
  <c r="BK35" i="6"/>
  <c r="CJ35" i="6"/>
  <c r="BH35" i="6"/>
  <c r="AG35" i="6"/>
  <c r="CB35" i="6"/>
  <c r="AW35" i="6"/>
  <c r="AV35" i="6"/>
  <c r="BY35" i="6"/>
  <c r="AU35" i="6"/>
  <c r="BV35" i="6"/>
  <c r="AQ35" i="6"/>
  <c r="BE35" i="6"/>
  <c r="BB39" i="6"/>
  <c r="K76" i="5"/>
  <c r="G76" i="5" s="1"/>
  <c r="AH14" i="6"/>
  <c r="S16" i="6"/>
  <c r="V16" i="6" s="1"/>
  <c r="AL16" i="6" s="1"/>
  <c r="AV16" i="6"/>
  <c r="CD16" i="6"/>
  <c r="AY23" i="6"/>
  <c r="CF23" i="6"/>
  <c r="X29" i="6"/>
  <c r="BO29" i="6"/>
  <c r="BF35" i="6"/>
  <c r="Z36" i="6"/>
  <c r="T39" i="6"/>
  <c r="BC39" i="6"/>
  <c r="L76" i="5"/>
  <c r="S35" i="6"/>
  <c r="BG35" i="6"/>
  <c r="U39" i="6"/>
  <c r="BD39" i="6"/>
  <c r="T16" i="6"/>
  <c r="AE29" i="6"/>
  <c r="M76" i="5"/>
  <c r="U16" i="6"/>
  <c r="AY16" i="6"/>
  <c r="CF16" i="6"/>
  <c r="BA23" i="6"/>
  <c r="AF29" i="6"/>
  <c r="BT29" i="6"/>
  <c r="U35" i="6"/>
  <c r="BI35" i="6"/>
  <c r="BY16" i="6"/>
  <c r="CC39" i="6"/>
  <c r="BI39" i="6"/>
  <c r="AO39" i="6"/>
  <c r="S39" i="6"/>
  <c r="CB39" i="6"/>
  <c r="BH39" i="6"/>
  <c r="AN39" i="6"/>
  <c r="BF39" i="6"/>
  <c r="BV39" i="6"/>
  <c r="AY39" i="6"/>
  <c r="BS39" i="6"/>
  <c r="AV39" i="6"/>
  <c r="W39" i="6"/>
  <c r="BN39" i="6"/>
  <c r="AM39" i="6"/>
  <c r="BM39" i="6"/>
  <c r="BL39" i="6"/>
  <c r="CI39" i="6"/>
  <c r="BJ39" i="6"/>
  <c r="AF39" i="6"/>
  <c r="AH39" i="6" s="1"/>
  <c r="BX39" i="6"/>
  <c r="AS39" i="6"/>
  <c r="BW39" i="6"/>
  <c r="AR39" i="6"/>
  <c r="BU39" i="6"/>
  <c r="AQ39" i="6"/>
  <c r="BR39" i="6"/>
  <c r="CE16" i="6"/>
  <c r="BF16" i="6"/>
  <c r="BU27" i="6"/>
  <c r="BA27" i="6"/>
  <c r="AE27" i="6"/>
  <c r="AH27" i="6" s="1"/>
  <c r="BT27" i="6"/>
  <c r="AZ27" i="6"/>
  <c r="BR27" i="6"/>
  <c r="AX27" i="6"/>
  <c r="AB27" i="6"/>
  <c r="CI27" i="6"/>
  <c r="BL27" i="6"/>
  <c r="AO27" i="6"/>
  <c r="CF27" i="6"/>
  <c r="BI27" i="6"/>
  <c r="BY27" i="6"/>
  <c r="AW27" i="6"/>
  <c r="BX27" i="6"/>
  <c r="AV27" i="6"/>
  <c r="U27" i="6"/>
  <c r="BW27" i="6"/>
  <c r="AU27" i="6"/>
  <c r="T27" i="6"/>
  <c r="BS27" i="6"/>
  <c r="AS27" i="6"/>
  <c r="BK27" i="6"/>
  <c r="AC27" i="6"/>
  <c r="BJ27" i="6"/>
  <c r="AA27" i="6"/>
  <c r="BH27" i="6"/>
  <c r="BF27" i="6"/>
  <c r="X27" i="6"/>
  <c r="Z27" i="6" s="1"/>
  <c r="BG27" i="6"/>
  <c r="Z28" i="6"/>
  <c r="AG29" i="6"/>
  <c r="BU29" i="6"/>
  <c r="X35" i="6"/>
  <c r="BP35" i="6"/>
  <c r="X39" i="6"/>
  <c r="BG39" i="6"/>
  <c r="E79" i="5"/>
  <c r="I76" i="5"/>
  <c r="E76" i="5" s="1"/>
  <c r="BW16" i="6"/>
  <c r="BC16" i="6"/>
  <c r="AG16" i="6"/>
  <c r="BV16" i="6"/>
  <c r="BB16" i="6"/>
  <c r="AF16" i="6"/>
  <c r="BU16" i="6"/>
  <c r="BA16" i="6"/>
  <c r="AE16" i="6"/>
  <c r="AH16" i="6" s="1"/>
  <c r="CB16" i="6"/>
  <c r="BE16" i="6"/>
  <c r="AC16" i="6"/>
  <c r="CA16" i="6"/>
  <c r="BD16" i="6"/>
  <c r="AB16" i="6"/>
  <c r="AZ16" i="6"/>
  <c r="AA16" i="6"/>
  <c r="BX16" i="6"/>
  <c r="AX16" i="6"/>
  <c r="Y16" i="6"/>
  <c r="BM29" i="6"/>
  <c r="BA39" i="6"/>
  <c r="AW16" i="6"/>
  <c r="CC23" i="6"/>
  <c r="BI23" i="6"/>
  <c r="AO23" i="6"/>
  <c r="S23" i="6"/>
  <c r="BF23" i="6"/>
  <c r="BO23" i="6"/>
  <c r="AS23" i="6"/>
  <c r="U23" i="6"/>
  <c r="CJ23" i="6"/>
  <c r="BN23" i="6"/>
  <c r="AR23" i="6"/>
  <c r="T23" i="6"/>
  <c r="CI23" i="6"/>
  <c r="BM23" i="6"/>
  <c r="AQ23" i="6"/>
  <c r="CG23" i="6"/>
  <c r="AN23" i="6"/>
  <c r="BH23" i="6"/>
  <c r="AE23" i="6"/>
  <c r="BG23" i="6"/>
  <c r="CH23" i="6"/>
  <c r="BE23" i="6"/>
  <c r="AC23" i="6"/>
  <c r="CE23" i="6"/>
  <c r="BC23" i="6"/>
  <c r="AA23" i="6"/>
  <c r="AZ23" i="6"/>
  <c r="BQ29" i="6"/>
  <c r="I74" i="5"/>
  <c r="W16" i="6"/>
  <c r="BG16" i="6"/>
  <c r="CH16" i="6"/>
  <c r="BZ19" i="6"/>
  <c r="W23" i="6"/>
  <c r="Z23" i="6" s="1"/>
  <c r="BD23" i="6"/>
  <c r="BM27" i="6"/>
  <c r="BV29" i="6"/>
  <c r="Y35" i="6"/>
  <c r="BQ35" i="6"/>
  <c r="Y39" i="6"/>
  <c r="BK39" i="6"/>
  <c r="BT22" i="6"/>
  <c r="AZ22" i="6"/>
  <c r="BQ22" i="6"/>
  <c r="AW22" i="6"/>
  <c r="AA22" i="6"/>
  <c r="AD22" i="6" s="1"/>
  <c r="BU22" i="6"/>
  <c r="AX22" i="6"/>
  <c r="Y22" i="6"/>
  <c r="BS22" i="6"/>
  <c r="AV22" i="6"/>
  <c r="X22" i="6"/>
  <c r="BR22" i="6"/>
  <c r="AU22" i="6"/>
  <c r="W22" i="6"/>
  <c r="BO22" i="6"/>
  <c r="AS22" i="6"/>
  <c r="U22" i="6"/>
  <c r="AT22" i="6"/>
  <c r="BY22" i="6"/>
  <c r="BZ37" i="6"/>
  <c r="BS11" i="6"/>
  <c r="AY11" i="6"/>
  <c r="AC11" i="6"/>
  <c r="AN11" i="6"/>
  <c r="BI11" i="6"/>
  <c r="CD11" i="6"/>
  <c r="S22" i="6"/>
  <c r="BA22" i="6"/>
  <c r="CA22" i="6"/>
  <c r="BQ31" i="6"/>
  <c r="AW31" i="6"/>
  <c r="AA31" i="6"/>
  <c r="AD31" i="6" s="1"/>
  <c r="CJ31" i="6"/>
  <c r="BP31" i="6"/>
  <c r="AV31" i="6"/>
  <c r="CH31" i="6"/>
  <c r="BN31" i="6"/>
  <c r="AT31" i="6"/>
  <c r="X31" i="6"/>
  <c r="Z31" i="6" s="1"/>
  <c r="CD31" i="6"/>
  <c r="BG31" i="6"/>
  <c r="CA31" i="6"/>
  <c r="BD31" i="6"/>
  <c r="AE31" i="6"/>
  <c r="AH31" i="6" s="1"/>
  <c r="BK31" i="6"/>
  <c r="BJ31" i="6"/>
  <c r="CI31" i="6"/>
  <c r="BI31" i="6"/>
  <c r="AG31" i="6"/>
  <c r="CF31" i="6"/>
  <c r="BF31" i="6"/>
  <c r="AY31" i="6"/>
  <c r="CC31" i="6"/>
  <c r="BX34" i="6"/>
  <c r="BD34" i="6"/>
  <c r="BW34" i="6"/>
  <c r="BC34" i="6"/>
  <c r="AG34" i="6"/>
  <c r="BU34" i="6"/>
  <c r="BA34" i="6"/>
  <c r="AE34" i="6"/>
  <c r="AH34" i="6" s="1"/>
  <c r="CC34" i="6"/>
  <c r="BF34" i="6"/>
  <c r="AZ34" i="6"/>
  <c r="AA34" i="6"/>
  <c r="AD34" i="6" s="1"/>
  <c r="CG34" i="6"/>
  <c r="BH34" i="6"/>
  <c r="AC34" i="6"/>
  <c r="CF34" i="6"/>
  <c r="BG34" i="6"/>
  <c r="AB34" i="6"/>
  <c r="CE34" i="6"/>
  <c r="BE34" i="6"/>
  <c r="CB34" i="6"/>
  <c r="AY34" i="6"/>
  <c r="X34" i="6"/>
  <c r="Z34" i="6" s="1"/>
  <c r="AV34" i="6"/>
  <c r="CH34" i="6"/>
  <c r="AU38" i="6"/>
  <c r="AZ43" i="6"/>
  <c r="AM9" i="6"/>
  <c r="BG9" i="6"/>
  <c r="CA9" i="6"/>
  <c r="AO11" i="6"/>
  <c r="BJ11" i="6"/>
  <c r="CE11" i="6"/>
  <c r="T22" i="6"/>
  <c r="BB22" i="6"/>
  <c r="CB22" i="6"/>
  <c r="AZ31" i="6"/>
  <c r="CE31" i="6"/>
  <c r="AW34" i="6"/>
  <c r="CI34" i="6"/>
  <c r="BT38" i="6"/>
  <c r="AZ38" i="6"/>
  <c r="BS38" i="6"/>
  <c r="AY38" i="6"/>
  <c r="AC38" i="6"/>
  <c r="BQ38" i="6"/>
  <c r="AW38" i="6"/>
  <c r="AA38" i="6"/>
  <c r="BC38" i="6"/>
  <c r="AB38" i="6"/>
  <c r="BW38" i="6"/>
  <c r="AX38" i="6"/>
  <c r="X38" i="6"/>
  <c r="Z38" i="6" s="1"/>
  <c r="CH38" i="6"/>
  <c r="BI38" i="6"/>
  <c r="CG38" i="6"/>
  <c r="BH38" i="6"/>
  <c r="AG38" i="6"/>
  <c r="CF38" i="6"/>
  <c r="BG38" i="6"/>
  <c r="AF38" i="6"/>
  <c r="AH38" i="6" s="1"/>
  <c r="CD38" i="6"/>
  <c r="BE38" i="6"/>
  <c r="AV38" i="6"/>
  <c r="CE38" i="6"/>
  <c r="BY43" i="6"/>
  <c r="BE43" i="6"/>
  <c r="BX43" i="6"/>
  <c r="BD43" i="6"/>
  <c r="BV43" i="6"/>
  <c r="BB43" i="6"/>
  <c r="AF43" i="6"/>
  <c r="AH43" i="6" s="1"/>
  <c r="BR43" i="6"/>
  <c r="AU43" i="6"/>
  <c r="BQ43" i="6"/>
  <c r="AT43" i="6"/>
  <c r="U43" i="6"/>
  <c r="BO43" i="6"/>
  <c r="AR43" i="6"/>
  <c r="S43" i="6"/>
  <c r="BN43" i="6"/>
  <c r="AQ43" i="6"/>
  <c r="BP43" i="6"/>
  <c r="AM43" i="6"/>
  <c r="BM43" i="6"/>
  <c r="BL43" i="6"/>
  <c r="AG43" i="6"/>
  <c r="BJ43" i="6"/>
  <c r="BA43" i="6"/>
  <c r="CI43" i="6"/>
  <c r="AN9" i="6"/>
  <c r="BH9" i="6"/>
  <c r="S11" i="6"/>
  <c r="AP11" i="6"/>
  <c r="BK11" i="6"/>
  <c r="CF11" i="6"/>
  <c r="BY14" i="6"/>
  <c r="BE14" i="6"/>
  <c r="BW14" i="6"/>
  <c r="BC14" i="6"/>
  <c r="AG14" i="6"/>
  <c r="AO14" i="6"/>
  <c r="BK14" i="6"/>
  <c r="CG14" i="6"/>
  <c r="BC22" i="6"/>
  <c r="CC22" i="6"/>
  <c r="BR24" i="6"/>
  <c r="AX24" i="6"/>
  <c r="AB24" i="6"/>
  <c r="AD24" i="6" s="1"/>
  <c r="CI24" i="6"/>
  <c r="BO24" i="6"/>
  <c r="AU24" i="6"/>
  <c r="Y24" i="6"/>
  <c r="Z24" i="6" s="1"/>
  <c r="CF24" i="6"/>
  <c r="BJ24" i="6"/>
  <c r="AN24" i="6"/>
  <c r="CE24" i="6"/>
  <c r="BI24" i="6"/>
  <c r="AM24" i="6"/>
  <c r="CD24" i="6"/>
  <c r="BH24" i="6"/>
  <c r="CB24" i="6"/>
  <c r="BF24" i="6"/>
  <c r="AS24" i="6"/>
  <c r="S31" i="6"/>
  <c r="V31" i="6" s="1"/>
  <c r="AL31" i="6" s="1"/>
  <c r="BA31" i="6"/>
  <c r="CG31" i="6"/>
  <c r="S34" i="6"/>
  <c r="V34" i="6" s="1"/>
  <c r="AL34" i="6" s="1"/>
  <c r="AX34" i="6"/>
  <c r="CJ34" i="6"/>
  <c r="BA38" i="6"/>
  <c r="CI38" i="6"/>
  <c r="BC43" i="6"/>
  <c r="CJ43" i="6"/>
  <c r="BZ23" i="6"/>
  <c r="CI33" i="6"/>
  <c r="BO33" i="6"/>
  <c r="AU33" i="6"/>
  <c r="Y33" i="6"/>
  <c r="CH33" i="6"/>
  <c r="BN33" i="6"/>
  <c r="AT33" i="6"/>
  <c r="X33" i="6"/>
  <c r="Z33" i="6" s="1"/>
  <c r="CF33" i="6"/>
  <c r="BL33" i="6"/>
  <c r="AR33" i="6"/>
  <c r="CB33" i="6"/>
  <c r="BE33" i="6"/>
  <c r="AF33" i="6"/>
  <c r="AH33" i="6" s="1"/>
  <c r="BY33" i="6"/>
  <c r="BB33" i="6"/>
  <c r="AC33" i="6"/>
  <c r="AD33" i="6" s="1"/>
  <c r="AS33" i="6"/>
  <c r="BT33" i="6"/>
  <c r="CJ42" i="6"/>
  <c r="BP42" i="6"/>
  <c r="AV42" i="6"/>
  <c r="CI42" i="6"/>
  <c r="BO42" i="6"/>
  <c r="AU42" i="6"/>
  <c r="Y42" i="6"/>
  <c r="CG42" i="6"/>
  <c r="BM42" i="6"/>
  <c r="AS42" i="6"/>
  <c r="W42" i="6"/>
  <c r="Z42" i="6" s="1"/>
  <c r="BT42" i="6"/>
  <c r="AW42" i="6"/>
  <c r="U42" i="6"/>
  <c r="BS42" i="6"/>
  <c r="AT42" i="6"/>
  <c r="T42" i="6"/>
  <c r="BQ42" i="6"/>
  <c r="AQ42" i="6"/>
  <c r="BN42" i="6"/>
  <c r="AX42" i="6"/>
  <c r="BY42" i="6"/>
  <c r="S33" i="6"/>
  <c r="AW33" i="6"/>
  <c r="BV33" i="6"/>
  <c r="BV36" i="6"/>
  <c r="BB36" i="6"/>
  <c r="AF36" i="6"/>
  <c r="BU36" i="6"/>
  <c r="BA36" i="6"/>
  <c r="AE36" i="6"/>
  <c r="AH36" i="6" s="1"/>
  <c r="BS36" i="6"/>
  <c r="AY36" i="6"/>
  <c r="AC36" i="6"/>
  <c r="AD36" i="6" s="1"/>
  <c r="CB36" i="6"/>
  <c r="BE36" i="6"/>
  <c r="BY36" i="6"/>
  <c r="AZ36" i="6"/>
  <c r="AR36" i="6"/>
  <c r="BQ36" i="6"/>
  <c r="AQ40" i="6"/>
  <c r="S42" i="6"/>
  <c r="AZ42" i="6"/>
  <c r="CA42" i="6"/>
  <c r="T33" i="6"/>
  <c r="AX33" i="6"/>
  <c r="BW33" i="6"/>
  <c r="BR40" i="6"/>
  <c r="AX40" i="6"/>
  <c r="AB40" i="6"/>
  <c r="BQ40" i="6"/>
  <c r="AW40" i="6"/>
  <c r="AA40" i="6"/>
  <c r="AD40" i="6" s="1"/>
  <c r="CI40" i="6"/>
  <c r="BO40" i="6"/>
  <c r="AU40" i="6"/>
  <c r="Y40" i="6"/>
  <c r="Z40" i="6" s="1"/>
  <c r="BW40" i="6"/>
  <c r="AZ40" i="6"/>
  <c r="X40" i="6"/>
  <c r="BT40" i="6"/>
  <c r="AT40" i="6"/>
  <c r="U40" i="6"/>
  <c r="V40" i="6" s="1"/>
  <c r="AL40" i="6" s="1"/>
  <c r="AR40" i="6"/>
  <c r="BU40" i="6"/>
  <c r="BA42" i="6"/>
  <c r="CB42" i="6"/>
  <c r="BF32" i="6"/>
  <c r="BY32" i="6"/>
  <c r="BE32" i="6"/>
  <c r="BW32" i="6"/>
  <c r="BC32" i="6"/>
  <c r="AG32" i="6"/>
  <c r="CD32" i="6"/>
  <c r="BG32" i="6"/>
  <c r="AE32" i="6"/>
  <c r="AH32" i="6" s="1"/>
  <c r="CA32" i="6"/>
  <c r="BA32" i="6"/>
  <c r="AB32" i="6"/>
  <c r="AR32" i="6"/>
  <c r="BQ32" i="6"/>
  <c r="U33" i="6"/>
  <c r="AY33" i="6"/>
  <c r="BX33" i="6"/>
  <c r="S36" i="6"/>
  <c r="V36" i="6" s="1"/>
  <c r="AL36" i="6" s="1"/>
  <c r="AT36" i="6"/>
  <c r="BT36" i="6"/>
  <c r="AS40" i="6"/>
  <c r="BV40" i="6"/>
  <c r="X42" i="6"/>
  <c r="BB42" i="6"/>
  <c r="CC42" i="6"/>
  <c r="AM25" i="6"/>
  <c r="BJ25" i="6"/>
  <c r="CH44" i="6"/>
  <c r="BN44" i="6"/>
  <c r="AT44" i="6"/>
  <c r="X44" i="6"/>
  <c r="CG44" i="6"/>
  <c r="BM44" i="6"/>
  <c r="AS44" i="6"/>
  <c r="W44" i="6"/>
  <c r="CE44" i="6"/>
  <c r="BK44" i="6"/>
  <c r="AQ44" i="6"/>
  <c r="U44" i="6"/>
  <c r="AP44" i="6"/>
  <c r="BP44" i="6"/>
  <c r="S44" i="6"/>
  <c r="V44" i="6" s="1"/>
  <c r="AL44" i="6" s="1"/>
  <c r="AU44" i="6"/>
  <c r="BR44" i="6"/>
  <c r="BW25" i="6"/>
  <c r="BC25" i="6"/>
  <c r="AG25" i="6"/>
  <c r="BV25" i="6"/>
  <c r="BB25" i="6"/>
  <c r="AF25" i="6"/>
  <c r="BT25" i="6"/>
  <c r="AZ25" i="6"/>
  <c r="AP25" i="6"/>
  <c r="BM25" i="6"/>
  <c r="CJ25" i="6"/>
  <c r="T44" i="6"/>
  <c r="AV44" i="6"/>
  <c r="BS44" i="6"/>
  <c r="AM28" i="6"/>
  <c r="BG28" i="6"/>
  <c r="CA28" i="6"/>
  <c r="BE30" i="6"/>
  <c r="BY30" i="6"/>
  <c r="BD41" i="6"/>
  <c r="BX41" i="6"/>
  <c r="S28" i="6"/>
  <c r="AO28" i="6"/>
  <c r="BI28" i="6"/>
  <c r="CC28" i="6"/>
  <c r="AM30" i="6"/>
  <c r="BG30" i="6"/>
  <c r="CA30" i="6"/>
  <c r="BF41" i="6"/>
  <c r="T28" i="6"/>
  <c r="AP28" i="6"/>
  <c r="BJ28" i="6"/>
  <c r="AN30" i="6"/>
  <c r="BH30" i="6"/>
  <c r="AM41" i="6"/>
  <c r="BG41" i="6"/>
  <c r="BI45" i="6" l="1"/>
  <c r="BI46" i="6" s="1"/>
  <c r="BS45" i="6"/>
  <c r="BS46" i="6" s="1"/>
  <c r="AV45" i="6"/>
  <c r="AV46" i="6" s="1"/>
  <c r="AY45" i="6"/>
  <c r="AY46" i="6" s="1"/>
  <c r="CC45" i="6"/>
  <c r="CC46" i="6" s="1"/>
  <c r="CA45" i="6"/>
  <c r="CA46" i="6" s="1"/>
  <c r="BR45" i="6"/>
  <c r="BR46" i="6" s="1"/>
  <c r="BH45" i="6"/>
  <c r="BH46" i="6" s="1"/>
  <c r="AT45" i="6"/>
  <c r="AU45" i="6"/>
  <c r="AU46" i="6" s="1"/>
  <c r="AW45" i="6"/>
  <c r="AW46" i="6" s="1"/>
  <c r="BZ45" i="6"/>
  <c r="BT45" i="6"/>
  <c r="BT46" i="6" s="1"/>
  <c r="H35" i="3"/>
  <c r="V15" i="6"/>
  <c r="AL15" i="6" s="1"/>
  <c r="Z7" i="6"/>
  <c r="AH8" i="6"/>
  <c r="V9" i="6"/>
  <c r="AL9" i="6" s="1"/>
  <c r="AH25" i="6"/>
  <c r="Z25" i="6"/>
  <c r="AD25" i="6"/>
  <c r="V25" i="6"/>
  <c r="AL25" i="6" s="1"/>
  <c r="V24" i="6"/>
  <c r="AL24" i="6"/>
  <c r="BU24" i="6"/>
  <c r="AD23" i="6"/>
  <c r="AH23" i="6"/>
  <c r="BK21" i="6"/>
  <c r="AD15" i="6"/>
  <c r="AD14" i="6"/>
  <c r="Z14" i="6"/>
  <c r="AD11" i="6"/>
  <c r="Z6" i="6"/>
  <c r="AD9" i="6"/>
  <c r="AD5" i="6"/>
  <c r="H11" i="1"/>
  <c r="I11" i="2" s="1"/>
  <c r="Z8" i="6"/>
  <c r="V11" i="6"/>
  <c r="AL11" i="6" s="1"/>
  <c r="Z11" i="6"/>
  <c r="BF45" i="6"/>
  <c r="BF46" i="6" s="1"/>
  <c r="BK45" i="6"/>
  <c r="CH45" i="6"/>
  <c r="CH46" i="6" s="1"/>
  <c r="BL45" i="6"/>
  <c r="BL46" i="6" s="1"/>
  <c r="AQ45" i="6"/>
  <c r="AQ46" i="6" s="1"/>
  <c r="BN45" i="6"/>
  <c r="BN46" i="6" s="1"/>
  <c r="BO45" i="6"/>
  <c r="BO46" i="6" s="1"/>
  <c r="CE45" i="6"/>
  <c r="CE46" i="6" s="1"/>
  <c r="BV45" i="6"/>
  <c r="BV46" i="6" s="1"/>
  <c r="CG45" i="6"/>
  <c r="CG46" i="6" s="1"/>
  <c r="CI45" i="6"/>
  <c r="CI46" i="6" s="1"/>
  <c r="AX45" i="6"/>
  <c r="AX46" i="6" s="1"/>
  <c r="CB45" i="6"/>
  <c r="CB46" i="6" s="1"/>
  <c r="AO45" i="6"/>
  <c r="AO46" i="6" s="1"/>
  <c r="BY45" i="6"/>
  <c r="BY46" i="6" s="1"/>
  <c r="BJ45" i="6"/>
  <c r="BJ46" i="6" s="1"/>
  <c r="AR45" i="6"/>
  <c r="AR46" i="6" s="1"/>
  <c r="BP45" i="6"/>
  <c r="BA45" i="6"/>
  <c r="BA46" i="6" s="1"/>
  <c r="I13" i="2"/>
  <c r="H13" i="1" s="1"/>
  <c r="BB45" i="6"/>
  <c r="BB46" i="6" s="1"/>
  <c r="BU45" i="6"/>
  <c r="BU46" i="6" s="1"/>
  <c r="AS45" i="6"/>
  <c r="AS46" i="6" s="1"/>
  <c r="AZ45" i="6"/>
  <c r="AZ46" i="6" s="1"/>
  <c r="BC45" i="6"/>
  <c r="BC46" i="6" s="1"/>
  <c r="AP45" i="6"/>
  <c r="AP46" i="6" s="1"/>
  <c r="CD45" i="6"/>
  <c r="CD46" i="6" s="1"/>
  <c r="BW45" i="6"/>
  <c r="BW46" i="6" s="1"/>
  <c r="BE45" i="6"/>
  <c r="BE46" i="6" s="1"/>
  <c r="BD45" i="6"/>
  <c r="BD46" i="6" s="1"/>
  <c r="CF45" i="6"/>
  <c r="CF46" i="6" s="1"/>
  <c r="BX45" i="6"/>
  <c r="BX46" i="6" s="1"/>
  <c r="BM45" i="6"/>
  <c r="BM46" i="6" s="1"/>
  <c r="BG45" i="6"/>
  <c r="BG46" i="6" s="1"/>
  <c r="F13" i="2"/>
  <c r="E13" i="1" s="1"/>
  <c r="CJ45" i="6"/>
  <c r="CJ46" i="6" s="1"/>
  <c r="BQ45" i="6"/>
  <c r="BQ46" i="6" s="1"/>
  <c r="AN45" i="6"/>
  <c r="AN46" i="6" s="1"/>
  <c r="AM45" i="6"/>
  <c r="AM46" i="6" s="1"/>
  <c r="AH11" i="6"/>
  <c r="BZ11" i="6"/>
  <c r="AD10" i="6"/>
  <c r="AH10" i="6"/>
  <c r="Z10" i="6"/>
  <c r="V10" i="6"/>
  <c r="AL10" i="6" s="1"/>
  <c r="AH9" i="6"/>
  <c r="Z9" i="6"/>
  <c r="AD8" i="6"/>
  <c r="AD7" i="6"/>
  <c r="V6" i="6"/>
  <c r="AL6" i="6" s="1"/>
  <c r="AH5" i="6"/>
  <c r="V5" i="6"/>
  <c r="E11" i="1"/>
  <c r="E12" i="1" s="1"/>
  <c r="F11" i="1"/>
  <c r="G11" i="2" s="1"/>
  <c r="G11" i="1"/>
  <c r="G12" i="1" s="1"/>
  <c r="Z44" i="6"/>
  <c r="AH12" i="6"/>
  <c r="Z18" i="6"/>
  <c r="Z35" i="6"/>
  <c r="Z37" i="6"/>
  <c r="V7" i="6"/>
  <c r="AL7" i="6" s="1"/>
  <c r="AH19" i="6"/>
  <c r="V19" i="6"/>
  <c r="AL19" i="6" s="1"/>
  <c r="AH37" i="6"/>
  <c r="Z22" i="6"/>
  <c r="Z5" i="6"/>
  <c r="V43" i="6"/>
  <c r="AL43" i="6" s="1"/>
  <c r="V26" i="6"/>
  <c r="AL26" i="6" s="1"/>
  <c r="AD13" i="6"/>
  <c r="V23" i="6"/>
  <c r="V28" i="6"/>
  <c r="AL28" i="6" s="1"/>
  <c r="AD16" i="6"/>
  <c r="AT46" i="6"/>
  <c r="V33" i="6"/>
  <c r="AL33" i="6" s="1"/>
  <c r="Z26" i="6"/>
  <c r="V8" i="6"/>
  <c r="AL8" i="6" s="1"/>
  <c r="Z12" i="6"/>
  <c r="V4" i="6"/>
  <c r="BZ4" i="6" s="1"/>
  <c r="S47" i="6"/>
  <c r="Z17" i="6"/>
  <c r="AD38" i="6"/>
  <c r="Y47" i="6"/>
  <c r="AH35" i="6"/>
  <c r="AH29" i="6"/>
  <c r="D74" i="5"/>
  <c r="AD29" i="6"/>
  <c r="V20" i="6"/>
  <c r="AL20" i="6" s="1"/>
  <c r="AH17" i="6"/>
  <c r="AD20" i="6"/>
  <c r="AD17" i="6"/>
  <c r="Z20" i="6"/>
  <c r="AD18" i="6"/>
  <c r="Z16" i="6"/>
  <c r="X47" i="6"/>
  <c r="AH13" i="6"/>
  <c r="AC47" i="6"/>
  <c r="AH18" i="6"/>
  <c r="AD37" i="6"/>
  <c r="Z19" i="6"/>
  <c r="V17" i="6"/>
  <c r="AL17" i="6" s="1"/>
  <c r="AH15" i="6"/>
  <c r="AD12" i="6"/>
  <c r="V13" i="6"/>
  <c r="AL13" i="6" s="1"/>
  <c r="T47" i="6"/>
  <c r="AD19" i="6"/>
  <c r="W47" i="6"/>
  <c r="Z4" i="6"/>
  <c r="AH6" i="6"/>
  <c r="V37" i="6"/>
  <c r="AL37" i="6" s="1"/>
  <c r="AG47" i="6"/>
  <c r="G74" i="5"/>
  <c r="V42" i="6"/>
  <c r="AL42" i="6" s="1"/>
  <c r="AH7" i="6"/>
  <c r="V35" i="6"/>
  <c r="AL35" i="6" s="1"/>
  <c r="AD6" i="6"/>
  <c r="AB47" i="6"/>
  <c r="AA47" i="6"/>
  <c r="AD4" i="6"/>
  <c r="V22" i="6"/>
  <c r="V39" i="6"/>
  <c r="AL39" i="6" s="1"/>
  <c r="H13" i="2"/>
  <c r="F35" i="3"/>
  <c r="Z13" i="6"/>
  <c r="AE47" i="6"/>
  <c r="AH4" i="6"/>
  <c r="AD27" i="6"/>
  <c r="AF47" i="6"/>
  <c r="Z39" i="6"/>
  <c r="U47" i="6"/>
  <c r="AD21" i="6"/>
  <c r="E74" i="5"/>
  <c r="M119" i="5"/>
  <c r="G19" i="2"/>
  <c r="Z29" i="6"/>
  <c r="AD26" i="6"/>
  <c r="V12" i="6"/>
  <c r="AL12" i="6" s="1"/>
  <c r="AH20" i="6"/>
  <c r="BZ46" i="6" l="1"/>
  <c r="AL23" i="6"/>
  <c r="BK23" i="6"/>
  <c r="AL22" i="6"/>
  <c r="BP22" i="6"/>
  <c r="BP46" i="6" s="1"/>
  <c r="D12" i="3"/>
  <c r="F14" i="2"/>
  <c r="AL5" i="6"/>
  <c r="BK5" i="6"/>
  <c r="BK46" i="6" s="1"/>
  <c r="H11" i="2"/>
  <c r="H12" i="2" s="1"/>
  <c r="F11" i="2"/>
  <c r="F12" i="2" s="1"/>
  <c r="D37" i="3"/>
  <c r="E14" i="1"/>
  <c r="E15" i="1" s="1"/>
  <c r="D9" i="3"/>
  <c r="E9" i="3" s="1"/>
  <c r="AH47" i="6"/>
  <c r="AH48" i="6" s="1"/>
  <c r="C37" i="3"/>
  <c r="E35" i="3"/>
  <c r="H14" i="2"/>
  <c r="G13" i="1"/>
  <c r="Z47" i="6"/>
  <c r="Z48" i="6" s="1"/>
  <c r="C33" i="3"/>
  <c r="D35" i="3"/>
  <c r="E33" i="3"/>
  <c r="E37" i="3"/>
  <c r="C31" i="3"/>
  <c r="G13" i="2"/>
  <c r="F33" i="3"/>
  <c r="G10" i="2"/>
  <c r="G12" i="2" s="1"/>
  <c r="F10" i="1"/>
  <c r="E31" i="3"/>
  <c r="AD47" i="6"/>
  <c r="AD48" i="6" s="1"/>
  <c r="D31" i="3"/>
  <c r="V47" i="6"/>
  <c r="V48" i="6" s="1"/>
  <c r="AL4" i="6"/>
  <c r="D33" i="3"/>
  <c r="C35" i="3"/>
  <c r="H15" i="2" l="1"/>
  <c r="AL46" i="6"/>
  <c r="AL47" i="6" s="1"/>
  <c r="AL49" i="6" s="1"/>
  <c r="AL51" i="6" s="1"/>
  <c r="AB48" i="6"/>
  <c r="AA48" i="6"/>
  <c r="F15" i="2"/>
  <c r="Y48" i="6"/>
  <c r="I35" i="3"/>
  <c r="E36" i="3" s="1"/>
  <c r="D81" i="3"/>
  <c r="D61" i="3"/>
  <c r="I33" i="3"/>
  <c r="C34" i="3" s="1"/>
  <c r="W48" i="6"/>
  <c r="U48" i="6"/>
  <c r="AC48" i="6"/>
  <c r="D101" i="3"/>
  <c r="I37" i="3"/>
  <c r="E38" i="3" s="1"/>
  <c r="X48" i="6"/>
  <c r="G14" i="1"/>
  <c r="G15" i="1" s="1"/>
  <c r="D11" i="3"/>
  <c r="E11" i="3" s="1"/>
  <c r="S48" i="6"/>
  <c r="C10" i="3"/>
  <c r="F12" i="1"/>
  <c r="AE48" i="6"/>
  <c r="AG48" i="6"/>
  <c r="AF48" i="6"/>
  <c r="T48" i="6"/>
  <c r="G14" i="2"/>
  <c r="G15" i="2" s="1"/>
  <c r="F13" i="1"/>
  <c r="D41" i="3"/>
  <c r="I31" i="3"/>
  <c r="D32" i="3" s="1"/>
  <c r="AM47" i="6" l="1"/>
  <c r="AM49" i="6" s="1"/>
  <c r="AM51" i="6" s="1"/>
  <c r="E32" i="3"/>
  <c r="D38" i="3"/>
  <c r="D34" i="3"/>
  <c r="J31" i="3"/>
  <c r="I32" i="3"/>
  <c r="G32" i="3"/>
  <c r="H32" i="3"/>
  <c r="F32" i="3"/>
  <c r="C32" i="3"/>
  <c r="J35" i="3"/>
  <c r="I36" i="3"/>
  <c r="H36" i="3"/>
  <c r="G36" i="3"/>
  <c r="F36" i="3"/>
  <c r="F14" i="1"/>
  <c r="F15" i="1" s="1"/>
  <c r="D10" i="3"/>
  <c r="E10" i="3" s="1"/>
  <c r="I34" i="3"/>
  <c r="H34" i="3"/>
  <c r="G34" i="3"/>
  <c r="D36" i="3"/>
  <c r="F34" i="3"/>
  <c r="C36" i="3"/>
  <c r="I38" i="3"/>
  <c r="J37" i="3"/>
  <c r="H38" i="3"/>
  <c r="G38" i="3"/>
  <c r="F38" i="3"/>
  <c r="C38" i="3"/>
  <c r="E34" i="3"/>
  <c r="AN47" i="6" l="1"/>
  <c r="AN49" i="6" s="1"/>
  <c r="AN51" i="6" s="1"/>
  <c r="E41" i="3"/>
  <c r="E61" i="3"/>
  <c r="E101" i="3"/>
  <c r="E81" i="3"/>
  <c r="J33" i="3"/>
  <c r="AO47" i="6" l="1"/>
  <c r="AP47" i="6" s="1"/>
  <c r="AO49" i="6" l="1"/>
  <c r="AO51" i="6" s="1"/>
  <c r="AQ47" i="6"/>
  <c r="AP49" i="6"/>
  <c r="AP51" i="6" s="1"/>
  <c r="AR47" i="6" l="1"/>
  <c r="AQ49" i="6"/>
  <c r="AQ51" i="6" s="1"/>
  <c r="AR49" i="6" l="1"/>
  <c r="AR51" i="6" s="1"/>
  <c r="AS47" i="6"/>
  <c r="AT47" i="6" l="1"/>
  <c r="AS49" i="6"/>
  <c r="AS51" i="6" s="1"/>
  <c r="AU47" i="6" l="1"/>
  <c r="AT49" i="6"/>
  <c r="AT51" i="6" s="1"/>
  <c r="AV47" i="6" l="1"/>
  <c r="AU49" i="6"/>
  <c r="AU51" i="6" s="1"/>
  <c r="AW47" i="6" l="1"/>
  <c r="AV49" i="6"/>
  <c r="AV51" i="6" s="1"/>
  <c r="AX47" i="6" l="1"/>
  <c r="AW49" i="6"/>
  <c r="AW51" i="6" s="1"/>
  <c r="AX49" i="6" l="1"/>
  <c r="AX51" i="6" s="1"/>
  <c r="AY47" i="6"/>
  <c r="AY49" i="6" l="1"/>
  <c r="AY51" i="6" s="1"/>
  <c r="AZ47" i="6"/>
  <c r="AZ49" i="6" l="1"/>
  <c r="AZ51" i="6" s="1"/>
  <c r="BA47" i="6"/>
  <c r="BB47" i="6" l="1"/>
  <c r="BA49" i="6"/>
  <c r="BA51" i="6" s="1"/>
  <c r="BC47" i="6" l="1"/>
  <c r="BB49" i="6"/>
  <c r="BB51" i="6" s="1"/>
  <c r="BC49" i="6" l="1"/>
  <c r="BC51" i="6" s="1"/>
  <c r="BD47" i="6"/>
  <c r="BE47" i="6" l="1"/>
  <c r="BD49" i="6"/>
  <c r="BD51" i="6" s="1"/>
  <c r="BF47" i="6" l="1"/>
  <c r="BE49" i="6"/>
  <c r="BE51" i="6" s="1"/>
  <c r="BG47" i="6" l="1"/>
  <c r="BF49" i="6"/>
  <c r="BF51" i="6" s="1"/>
  <c r="BG49" i="6" l="1"/>
  <c r="BG51" i="6" s="1"/>
  <c r="BH47" i="6"/>
  <c r="BH49" i="6" l="1"/>
  <c r="BH51" i="6" s="1"/>
  <c r="BI47" i="6"/>
  <c r="BI49" i="6" l="1"/>
  <c r="BI51" i="6" s="1"/>
  <c r="BJ47" i="6"/>
  <c r="BK47" i="6" l="1"/>
  <c r="BJ49" i="6"/>
  <c r="BJ51" i="6" s="1"/>
  <c r="BL47" i="6" l="1"/>
  <c r="BK49" i="6"/>
  <c r="BK51" i="6" s="1"/>
  <c r="BM47" i="6" l="1"/>
  <c r="BL49" i="6"/>
  <c r="BL51" i="6" s="1"/>
  <c r="BN47" i="6" l="1"/>
  <c r="BM49" i="6"/>
  <c r="BM51" i="6" s="1"/>
  <c r="BO47" i="6" l="1"/>
  <c r="BN49" i="6"/>
  <c r="BN51" i="6" s="1"/>
  <c r="BO49" i="6" l="1"/>
  <c r="BO51" i="6" s="1"/>
  <c r="BP47" i="6"/>
  <c r="BP49" i="6" l="1"/>
  <c r="BP51" i="6" s="1"/>
  <c r="BQ47" i="6"/>
  <c r="BQ49" i="6" l="1"/>
  <c r="BQ51" i="6" s="1"/>
  <c r="BR47" i="6"/>
  <c r="BR49" i="6" l="1"/>
  <c r="BR51" i="6" s="1"/>
  <c r="BS47" i="6"/>
  <c r="BS49" i="6" l="1"/>
  <c r="BS51" i="6" s="1"/>
  <c r="BT47" i="6"/>
  <c r="BT49" i="6" l="1"/>
  <c r="BT51" i="6" s="1"/>
  <c r="BU47" i="6"/>
  <c r="BU49" i="6" l="1"/>
  <c r="BU51" i="6" s="1"/>
  <c r="BV47" i="6"/>
  <c r="BW47" i="6" l="1"/>
  <c r="BV49" i="6"/>
  <c r="BV51" i="6" s="1"/>
  <c r="BW49" i="6" l="1"/>
  <c r="BW51" i="6" s="1"/>
  <c r="BX47" i="6"/>
  <c r="BY47" i="6" l="1"/>
  <c r="BX49" i="6"/>
  <c r="BX51" i="6" s="1"/>
  <c r="BZ47" i="6" l="1"/>
  <c r="BY49" i="6"/>
  <c r="BY51" i="6" s="1"/>
  <c r="CA47" i="6" l="1"/>
  <c r="BZ49" i="6"/>
  <c r="BZ51" i="6" s="1"/>
  <c r="CA49" i="6" l="1"/>
  <c r="CA51" i="6" s="1"/>
  <c r="CB47" i="6"/>
  <c r="CB49" i="6" l="1"/>
  <c r="CB51" i="6" s="1"/>
  <c r="CC47" i="6"/>
  <c r="CD47" i="6" l="1"/>
  <c r="CC49" i="6"/>
  <c r="CC51" i="6" s="1"/>
  <c r="CE47" i="6" l="1"/>
  <c r="CD49" i="6"/>
  <c r="CD51" i="6" s="1"/>
  <c r="CF47" i="6" l="1"/>
  <c r="CE49" i="6"/>
  <c r="CE51" i="6" s="1"/>
  <c r="CG47" i="6" l="1"/>
  <c r="CF49" i="6"/>
  <c r="CF51" i="6" s="1"/>
  <c r="CH47" i="6" l="1"/>
  <c r="CG49" i="6"/>
  <c r="CG51" i="6" s="1"/>
  <c r="CI47" i="6" l="1"/>
  <c r="CH49" i="6"/>
  <c r="CH51" i="6" s="1"/>
  <c r="CJ47" i="6" l="1"/>
  <c r="CJ49" i="6" s="1"/>
  <c r="CI49" i="6"/>
  <c r="CI51" i="6" s="1"/>
  <c r="CJ51" i="6" l="1"/>
  <c r="CK51" i="6" s="1"/>
  <c r="G154" i="3" s="1"/>
  <c r="C154" i="3"/>
</calcChain>
</file>

<file path=xl/sharedStrings.xml><?xml version="1.0" encoding="utf-8"?>
<sst xmlns="http://schemas.openxmlformats.org/spreadsheetml/2006/main" count="758" uniqueCount="324">
  <si>
    <r>
      <rPr>
        <b/>
        <sz val="16"/>
        <color theme="1"/>
        <rFont val="Arial"/>
      </rPr>
      <t>Construction &amp; Materials Embodied Impacts</t>
    </r>
  </si>
  <si>
    <t>Inventory and Impact Assessment</t>
  </si>
  <si>
    <t>Team:</t>
  </si>
  <si>
    <t>River</t>
  </si>
  <si>
    <t>STV Progress</t>
  </si>
  <si>
    <t>GWP (kgCO2e)</t>
  </si>
  <si>
    <t>Energy (MJ)</t>
  </si>
  <si>
    <t>Water (kg)</t>
  </si>
  <si>
    <t>ODP (kgCFC11e)</t>
  </si>
  <si>
    <t>Target</t>
  </si>
  <si>
    <t>(minimize)</t>
  </si>
  <si>
    <t>Embodied</t>
  </si>
  <si>
    <t>Used%</t>
  </si>
  <si>
    <t>-</t>
  </si>
  <si>
    <t>Use Phase</t>
  </si>
  <si>
    <t>Total%</t>
  </si>
  <si>
    <t>Assembly</t>
  </si>
  <si>
    <t>Material/Type</t>
  </si>
  <si>
    <t>Amount</t>
  </si>
  <si>
    <t>Cell Range</t>
  </si>
  <si>
    <t>Sum?</t>
  </si>
  <si>
    <t>Num</t>
  </si>
  <si>
    <t>MEP</t>
  </si>
  <si>
    <t>Pick Type</t>
  </si>
  <si>
    <t xml:space="preserve"> </t>
  </si>
  <si>
    <t>Pick Assembly</t>
  </si>
  <si>
    <t>Use Phase Impacts</t>
  </si>
  <si>
    <t>Annual Impacts</t>
  </si>
  <si>
    <t>Energy Use</t>
  </si>
  <si>
    <t>Electricity Drawn from Grid:</t>
  </si>
  <si>
    <t>kWh</t>
  </si>
  <si>
    <t>On-site Renewable Electricity:</t>
  </si>
  <si>
    <t>Fuel Type</t>
  </si>
  <si>
    <t>Select Fuel</t>
  </si>
  <si>
    <t>Electricity Split</t>
  </si>
  <si>
    <t>Heating</t>
  </si>
  <si>
    <t>MJ</t>
  </si>
  <si>
    <t>Heating Split</t>
  </si>
  <si>
    <t>Cooling</t>
  </si>
  <si>
    <t>Cooling Split</t>
  </si>
  <si>
    <t>Natural Gas Use:</t>
  </si>
  <si>
    <t>m^3</t>
  </si>
  <si>
    <t>Water Use</t>
  </si>
  <si>
    <t>Toilet Flow Rate:</t>
  </si>
  <si>
    <t>gal/flush</t>
  </si>
  <si>
    <t>Urinal Flow Rate:</t>
  </si>
  <si>
    <t>WC Sink Flow Rate:</t>
  </si>
  <si>
    <t>gal/min</t>
  </si>
  <si>
    <t>Lab Sink Flow Rate:</t>
  </si>
  <si>
    <t>Kitchen Sink Flow Rate:</t>
  </si>
  <si>
    <t>Shower Flow Rate:</t>
  </si>
  <si>
    <t>Landscaping Water Use:</t>
  </si>
  <si>
    <t>gal</t>
  </si>
  <si>
    <t>Total</t>
  </si>
  <si>
    <t>Rainwater Collection:</t>
  </si>
  <si>
    <t>Life Cycle Assessment Results Overview</t>
  </si>
  <si>
    <t>Total Life Cycle Impacts</t>
  </si>
  <si>
    <t>Performance Relative to Life Cycle Impact Targets</t>
  </si>
  <si>
    <t>Impact</t>
  </si>
  <si>
    <t>Project</t>
  </si>
  <si>
    <t>%</t>
  </si>
  <si>
    <t>Carbon (kgCO2e)</t>
  </si>
  <si>
    <t>Water (kgH2O)</t>
  </si>
  <si>
    <t>Ozone (kgCFC11e)</t>
  </si>
  <si>
    <t>Breakdown of Embodied vs. Use Phase Impacts</t>
  </si>
  <si>
    <t>Use-Phase</t>
  </si>
  <si>
    <t>Materials</t>
  </si>
  <si>
    <t>Transport</t>
  </si>
  <si>
    <t>Construction</t>
  </si>
  <si>
    <t>Electricity</t>
  </si>
  <si>
    <t>Life Cycle</t>
  </si>
  <si>
    <t>%Total</t>
  </si>
  <si>
    <t>Embodied Carbon (kgCO2e)</t>
  </si>
  <si>
    <t>Total Life Cycle Carbon (kgCO2e)</t>
  </si>
  <si>
    <t>Embodied Energy (MJ)</t>
  </si>
  <si>
    <t>Total Life Cycle Energy (MJ)</t>
  </si>
  <si>
    <t>Embodied Water (kgH2O)</t>
  </si>
  <si>
    <t>Total Life Cycle Water (kgH2O)</t>
  </si>
  <si>
    <t>Embodied ODP (kgCFC11e)</t>
  </si>
  <si>
    <t>Total Life Cycle ODP (kgCFC11e)</t>
  </si>
  <si>
    <t>Carbon (kgCO2e) Accrual Over Project Life</t>
  </si>
  <si>
    <t>Excess Carbon</t>
  </si>
  <si>
    <t>mtCO2e</t>
  </si>
  <si>
    <t>Total Cost</t>
  </si>
  <si>
    <t>FU unit</t>
  </si>
  <si>
    <t>kg/m^3</t>
  </si>
  <si>
    <t>CO2</t>
  </si>
  <si>
    <t>H2O</t>
  </si>
  <si>
    <t>ODP</t>
  </si>
  <si>
    <t>MJ/kg</t>
  </si>
  <si>
    <t>kgCO2/MJ</t>
  </si>
  <si>
    <t>http://www.ocean.washington.edu/courses/envir215/energynumbers.pdf</t>
  </si>
  <si>
    <t>Lignite</t>
  </si>
  <si>
    <t>kg</t>
  </si>
  <si>
    <t>https://www.princeton.edu/~achaney/tmve/wiki100k/docs/Lignite.html</t>
  </si>
  <si>
    <t>Anthracite</t>
  </si>
  <si>
    <t>http://en.wikipedia.org/wiki/Anthracite</t>
  </si>
  <si>
    <t>Gasoline</t>
  </si>
  <si>
    <t>http://cta.ornl.gov/bedb/appendix_a/Lower_and_Higher_Heating_Values_of_Gas_Liquid_and_Solid_Fuels.pdf</t>
  </si>
  <si>
    <t>Diesel</t>
  </si>
  <si>
    <t>m^3--&gt;kg</t>
  </si>
  <si>
    <t>http://www.biogas-renewable-energy.info/biogas_composition.html</t>
  </si>
  <si>
    <t>Heavy Fuel Oil</t>
  </si>
  <si>
    <t>http://www.biomassenergycentre.org.uk/portal/page?_pageid=75,163182&amp;_dad=portal&amp;_schema=PORTAL</t>
  </si>
  <si>
    <t>Corn Ethanol</t>
  </si>
  <si>
    <t>http://wogone.com/science/the_energy_and_fuel_data_sheet.pdf</t>
  </si>
  <si>
    <t>Natural Gas</t>
  </si>
  <si>
    <t>http://cdm.unfccc.int/Panels/ssc_wg/SSCWG05_repan_07_Scenario_NRB2RB.pdf</t>
  </si>
  <si>
    <t>Propane</t>
  </si>
  <si>
    <t>http://www.biogas.org.nz/background.asp</t>
  </si>
  <si>
    <t>Sewage Biogas</t>
  </si>
  <si>
    <t>Wood Pellet</t>
  </si>
  <si>
    <t>Team</t>
  </si>
  <si>
    <t>Elec. Nu</t>
  </si>
  <si>
    <t>Therm. Nu</t>
  </si>
  <si>
    <t>Cool. Nu</t>
  </si>
  <si>
    <t>Tot. Nu</t>
  </si>
  <si>
    <t>Elec. Frac.</t>
  </si>
  <si>
    <t>Therm. Frac</t>
  </si>
  <si>
    <t>Cool. Frac</t>
  </si>
  <si>
    <t>Express</t>
  </si>
  <si>
    <t>Central</t>
  </si>
  <si>
    <t>Pacific</t>
  </si>
  <si>
    <t>Atlantic</t>
  </si>
  <si>
    <t>Life Cycle Impact Assessment Data</t>
  </si>
  <si>
    <t>1 Construction and Materials</t>
  </si>
  <si>
    <t>Life Units</t>
  </si>
  <si>
    <t>No.</t>
  </si>
  <si>
    <t>tanker per tkm</t>
  </si>
  <si>
    <t>Foundation</t>
  </si>
  <si>
    <t>Concrete Slab (cy)</t>
  </si>
  <si>
    <t>gwp</t>
  </si>
  <si>
    <t>Strip Foundation (cy)</t>
  </si>
  <si>
    <t>mj</t>
  </si>
  <si>
    <t>Mat and Pile (cy)</t>
  </si>
  <si>
    <t>water</t>
  </si>
  <si>
    <t>Novacem Concrete Slab (cy)</t>
  </si>
  <si>
    <t>Novacem Strip Foundation (cy)</t>
  </si>
  <si>
    <t>Novacem Mat and Pile (cy)</t>
  </si>
  <si>
    <t>Novacem Subtraction (per cy concrete)</t>
  </si>
  <si>
    <t>Interior Wall</t>
  </si>
  <si>
    <t>Curtain Wall (sf)</t>
  </si>
  <si>
    <t>odp</t>
  </si>
  <si>
    <t>Steel Studs and Painted Gypsum (sf)</t>
  </si>
  <si>
    <t>Timber Studs and Painted Gypsum (sf)</t>
  </si>
  <si>
    <t>Concrete and Painted Gypsum (sf)</t>
  </si>
  <si>
    <t>Painted Concrete (sf)</t>
  </si>
  <si>
    <t>Exterior Wall</t>
  </si>
  <si>
    <t>Curtain Wall Triple Pane (sf)</t>
  </si>
  <si>
    <t>Curtain Wall Double Pane (sf)</t>
  </si>
  <si>
    <t>Qbiss Curtain Wall (sf)</t>
  </si>
  <si>
    <t>Brick on Concrete (sf)</t>
  </si>
  <si>
    <t>Recycled Brick (sf)</t>
  </si>
  <si>
    <t>Concrete Cladding (sf)</t>
  </si>
  <si>
    <t>Novacem Subtraction (per sf concrete cladding)</t>
  </si>
  <si>
    <t>Novacem Concrete Cladding (sf)</t>
  </si>
  <si>
    <t>EIFS on Metal Stud (sf)</t>
  </si>
  <si>
    <t>Structurally Insulated Panels (sf)</t>
  </si>
  <si>
    <t>Brick on Metal Stud (sf)</t>
  </si>
  <si>
    <t>Floor</t>
  </si>
  <si>
    <t>Wood System (sf)</t>
  </si>
  <si>
    <t>Concrete (sf)</t>
  </si>
  <si>
    <t>Concrete and Carpet (sf)</t>
  </si>
  <si>
    <t>Concrete and Ceramic (sf)</t>
  </si>
  <si>
    <t>Bubble Deck (sf)</t>
  </si>
  <si>
    <t>Epicore (sf)</t>
  </si>
  <si>
    <t>Novacem Concrete (sf)</t>
  </si>
  <si>
    <t>Novacem Concrete and Carpet (sf)</t>
  </si>
  <si>
    <t>Novacem Concrete and Ceramic (sf)</t>
  </si>
  <si>
    <t>Novacem Subtraction (per sf concrete flooring)</t>
  </si>
  <si>
    <t>Carpet (sf)</t>
  </si>
  <si>
    <t>Roof</t>
  </si>
  <si>
    <t>Steel Structure (sf)</t>
  </si>
  <si>
    <t>Wood Structure (sf)</t>
  </si>
  <si>
    <t>Noxite Membrane (sf)</t>
  </si>
  <si>
    <t>EPDM Membrane (sf)</t>
  </si>
  <si>
    <t>Polystyrene Insulation (sf)</t>
  </si>
  <si>
    <t>Green Roof (sf)</t>
  </si>
  <si>
    <t>Fiberglass Insulation (sf)</t>
  </si>
  <si>
    <t>BioPCM Phase Changing Insulation (sf)</t>
  </si>
  <si>
    <t>Asphalt Shingle (sf)</t>
  </si>
  <si>
    <t>Window</t>
  </si>
  <si>
    <t>Single Pane Aluminum Frame (sf)</t>
  </si>
  <si>
    <t>Single Pane Plastic Frame (sf)</t>
  </si>
  <si>
    <t>Double Pane Aluminum Frame (sf)</t>
  </si>
  <si>
    <t>Triple Pane Aluminum Frame (sf)</t>
  </si>
  <si>
    <t>Double Pane Plastic Frame (sf)</t>
  </si>
  <si>
    <t>Triple Pane Plastic Frame (sf)</t>
  </si>
  <si>
    <t>Column</t>
  </si>
  <si>
    <t>Reinforced Concrete Column (cy)</t>
  </si>
  <si>
    <t>Steel Column (kg)</t>
  </si>
  <si>
    <t>Wood Column (kg)</t>
  </si>
  <si>
    <t>Glulam Column (kg)</t>
  </si>
  <si>
    <t>Beam</t>
  </si>
  <si>
    <t>Reinforced Concrete Beam (cy)</t>
  </si>
  <si>
    <t>Steel Beam (kg)</t>
  </si>
  <si>
    <t>Wood Beam (kg)</t>
  </si>
  <si>
    <t>Glulam Beam (kg)</t>
  </si>
  <si>
    <t>Steel Duct 12"D (ft)</t>
  </si>
  <si>
    <t>Steel Duct 18"D (ft)</t>
  </si>
  <si>
    <t>Stainless Steel Duct (kg)</t>
  </si>
  <si>
    <t>Copper Pipe (kg)</t>
  </si>
  <si>
    <t>Stainless Steel Pipe (kg)</t>
  </si>
  <si>
    <t>HDPE Pipe (kg)</t>
  </si>
  <si>
    <t>Ground Source Heat Exchanger (ft)</t>
  </si>
  <si>
    <t>GSHP Open Vertical (Btu/hr)</t>
  </si>
  <si>
    <t>Air Handling Unit (m^3/s)</t>
  </si>
  <si>
    <t>AHU w/Plate Waste Heat Recovery (m^3/s)</t>
  </si>
  <si>
    <t>AHU w/LiCl Desiccant Dehumidification (m^3/s)</t>
  </si>
  <si>
    <t>AHU w/Wheel Waste Heat Recovery (m^3/s)</t>
  </si>
  <si>
    <t>Air Handling Normal Unit (m^3/s)</t>
  </si>
  <si>
    <t>Air Handling Unit Plate Waste Heat Recovery (m^3/s)</t>
  </si>
  <si>
    <t>Air Handling Unit Wheel Waste Heat Recovery (m^3/s)</t>
  </si>
  <si>
    <t>Air Filters (m^3/s)</t>
  </si>
  <si>
    <t>Heat Pump (nominal tons)</t>
  </si>
  <si>
    <t>Air Conditioner (nominal tons)</t>
  </si>
  <si>
    <t>Natural Gas Furnace (kBtu/h)</t>
  </si>
  <si>
    <t>Living Machine Water Treatment System (gal/day)</t>
  </si>
  <si>
    <t>Rainwater Collection Tank (gal)</t>
  </si>
  <si>
    <t>Natural Gas Water Heater (kBtu/h)</t>
  </si>
  <si>
    <t>Boiler (L)</t>
  </si>
  <si>
    <t>Water Pump (m^3/hr)</t>
  </si>
  <si>
    <t>Misc</t>
  </si>
  <si>
    <t>Smart Glass (sf)</t>
  </si>
  <si>
    <t>C.R. Laurence Shading System (sf)</t>
  </si>
  <si>
    <t>Nullifire Coating (sf)</t>
  </si>
  <si>
    <t>The Expanded Metal Company Steel Façade Panel (sf)</t>
  </si>
  <si>
    <t>Exercise Bike (Bike)</t>
  </si>
  <si>
    <t>Walking Station (Treadmill)</t>
  </si>
  <si>
    <t>Ceramic Frittering (sf)</t>
  </si>
  <si>
    <t>Novelis FF3 Aluminum Panel (sf)</t>
  </si>
  <si>
    <t>Energy</t>
  </si>
  <si>
    <t>AeroVironment Wind (Turbine)</t>
  </si>
  <si>
    <t>Transparent PV Glass (sf)</t>
  </si>
  <si>
    <t>Energain Thermal Mass Panels (sf)</t>
  </si>
  <si>
    <t>Flat Plate Solar Thermal (sf)</t>
  </si>
  <si>
    <t>EV Station (Charger)</t>
  </si>
  <si>
    <t>QR5 (Turbine)</t>
  </si>
  <si>
    <t>EV Battery (kWh)</t>
  </si>
  <si>
    <t>Integrated Solar Water Heating (sf)</t>
  </si>
  <si>
    <t>Flate Plate Solar Water Heating (sf)</t>
  </si>
  <si>
    <t>Millennium PVT (Panel)</t>
  </si>
  <si>
    <t>Photovoltaics (sf)</t>
  </si>
  <si>
    <r>
      <rPr>
        <sz val="10"/>
        <color theme="1"/>
        <rFont val="Arial"/>
      </rPr>
      <t xml:space="preserve">[1] </t>
    </r>
    <r>
      <rPr>
        <i/>
        <sz val="10"/>
        <color theme="1"/>
        <rFont val="Arial"/>
      </rPr>
      <t>Assemblies modeled in Sima Pro using ReCiPe Midpoint (H) version 1.06 methodology, world normalization.</t>
    </r>
  </si>
  <si>
    <r>
      <rPr>
        <sz val="10"/>
        <color theme="1"/>
        <rFont val="Arial"/>
      </rPr>
      <t xml:space="preserve">[2] </t>
    </r>
    <r>
      <rPr>
        <i/>
        <sz val="10"/>
        <color theme="1"/>
        <rFont val="Arial"/>
      </rPr>
      <t xml:space="preserve">Crude oil virtual water (water footprint) assumed to be 1.06 m^3/GJ or 1.06 kg/MJ for both diesel and gasoline (Water Footprint of Bio-Energy and Other Primary Energy Carriers, UNESCO-IHE, March 2008, http://www.waterfootprint.org/Reports/Report29-WaterFootprintBioenergy.pdf). </t>
    </r>
  </si>
  <si>
    <t>2 Use Phase</t>
  </si>
  <si>
    <t>kgCO2e/kWh</t>
  </si>
  <si>
    <t>%Coal</t>
  </si>
  <si>
    <t>%Fuel Oil</t>
  </si>
  <si>
    <t>%Diesel</t>
  </si>
  <si>
    <t>%NGCC</t>
  </si>
  <si>
    <t>MJ/kWh</t>
  </si>
  <si>
    <t>kgH2O/kWh</t>
  </si>
  <si>
    <t>kgCFC11/kWh</t>
  </si>
  <si>
    <t>CO2-adjust</t>
  </si>
  <si>
    <t>kgH2O</t>
  </si>
  <si>
    <t>MJ-adjust</t>
  </si>
  <si>
    <t>delT</t>
  </si>
  <si>
    <t>kgH2O/MJ</t>
  </si>
  <si>
    <t>kgCFC11/MJ</t>
  </si>
  <si>
    <t>Coal</t>
  </si>
  <si>
    <t>Ridge</t>
  </si>
  <si>
    <t>Island</t>
  </si>
  <si>
    <r>
      <rPr>
        <sz val="10"/>
        <color theme="1"/>
        <rFont val="Arial"/>
      </rPr>
      <t xml:space="preserve">[3] </t>
    </r>
    <r>
      <rPr>
        <i/>
        <sz val="10"/>
        <color theme="1"/>
        <rFont val="Arial"/>
      </rPr>
      <t>Emissions factors taken from the US DOE EIA Appendix F Electricity Emissions Factors.</t>
    </r>
  </si>
  <si>
    <r>
      <rPr>
        <sz val="10"/>
        <color theme="1"/>
        <rFont val="Arial"/>
      </rPr>
      <t xml:space="preserve">[4] </t>
    </r>
    <r>
      <rPr>
        <i/>
        <sz val="10"/>
        <color theme="1"/>
        <rFont val="Arial"/>
      </rPr>
      <t>Fuel breakdown for Germany from Paul Scherrer Institute report.</t>
    </r>
  </si>
  <si>
    <r>
      <rPr>
        <sz val="10"/>
        <color theme="1"/>
        <rFont val="Arial"/>
      </rPr>
      <t xml:space="preserve">[5] </t>
    </r>
    <r>
      <rPr>
        <i/>
        <sz val="10"/>
        <color theme="1"/>
        <rFont val="Arial"/>
      </rPr>
      <t>Fuel breakdown for CA, WI, and NV from the US DOE EERE.</t>
    </r>
  </si>
  <si>
    <r>
      <rPr>
        <sz val="10"/>
        <color theme="1"/>
        <rFont val="Arial"/>
      </rPr>
      <t xml:space="preserve">[6] </t>
    </r>
    <r>
      <rPr>
        <i/>
        <sz val="10"/>
        <color theme="1"/>
        <rFont val="Arial"/>
      </rPr>
      <t>Fuel breakdown for Puerto Rico from the EIA.</t>
    </r>
  </si>
  <si>
    <r>
      <rPr>
        <sz val="10"/>
        <color theme="1"/>
        <rFont val="Arial"/>
      </rPr>
      <t xml:space="preserve">[7] </t>
    </r>
    <r>
      <rPr>
        <i/>
        <sz val="10"/>
        <color theme="1"/>
        <rFont val="Arial"/>
      </rPr>
      <t xml:space="preserve">Generator efficiency from the IPCC. </t>
    </r>
  </si>
  <si>
    <t>http://www.greenspec.co.uk/embodied-energy.php</t>
  </si>
  <si>
    <t>http://www.nrel.gov/docs/fy08osti/41956.pdf</t>
  </si>
  <si>
    <t>http://www.esu-services.ch/fileadmin/download/publicLCI/itten-2012-electricity-mix.pdf</t>
  </si>
  <si>
    <t>http://energyalmanac.ca.gov/electricity/total_system_power.html</t>
  </si>
  <si>
    <t>http://psc.wi.gov/thelibrary/publications/electric/electric04.pdf</t>
  </si>
  <si>
    <t>http://apps1.eere.energy.gov/states/</t>
  </si>
  <si>
    <t>http://www.ipcc.ch/publications_and_data/ar4/wg3/en/ch4s4-4-3-1.html</t>
  </si>
  <si>
    <t>http://www.energy.ca.gov/sb1305/labels/2011_labels/LADWP_PCL.pdf</t>
  </si>
  <si>
    <t>http://www.eia.gov/tools/faqs/faq.cfm?id=74&amp;t=11</t>
  </si>
  <si>
    <t>Pick foundation</t>
  </si>
  <si>
    <t>Pick interior wall</t>
  </si>
  <si>
    <t>Pick exterior wall</t>
  </si>
  <si>
    <t>Pick floor</t>
  </si>
  <si>
    <t>Pick roof</t>
  </si>
  <si>
    <t>Pick window</t>
  </si>
  <si>
    <t>Pick columns</t>
  </si>
  <si>
    <t>Pick beams</t>
  </si>
  <si>
    <t>Pick MEP</t>
  </si>
  <si>
    <t>Pick Energy</t>
  </si>
  <si>
    <t>Pick Misc</t>
  </si>
  <si>
    <t>Embodied Impacts Breakdown for Each Selected Assembly (from Construction and Materials sheet)</t>
  </si>
  <si>
    <t>Carbon Tracker</t>
  </si>
  <si>
    <t>Assembly Type</t>
  </si>
  <si>
    <t>Mat. kgCO2</t>
  </si>
  <si>
    <t>Trans. kgCO2</t>
  </si>
  <si>
    <t>Cons. kgCO2</t>
  </si>
  <si>
    <t>Total kgCO2</t>
  </si>
  <si>
    <t>Mat. MJ</t>
  </si>
  <si>
    <t>Trans. MJ</t>
  </si>
  <si>
    <t>Cons. MJ</t>
  </si>
  <si>
    <t>Total MJ</t>
  </si>
  <si>
    <t>Mat. kgH2O</t>
  </si>
  <si>
    <t>Trans. kgH2O</t>
  </si>
  <si>
    <t>Cons. kgH2O</t>
  </si>
  <si>
    <t>Total kgH2O</t>
  </si>
  <si>
    <t>Mat. kgCFC11</t>
  </si>
  <si>
    <t>Trans. kgCFC11</t>
  </si>
  <si>
    <t>Cons. kgCFC11</t>
  </si>
  <si>
    <t>Total kgCFC11</t>
  </si>
  <si>
    <t>Plot Name</t>
  </si>
  <si>
    <t>Period --&gt;</t>
  </si>
  <si>
    <t>Assembly 1 --&gt;</t>
  </si>
  <si>
    <t>Assembly 2 --&gt;</t>
  </si>
  <si>
    <t>Assembly 3 --&gt;</t>
  </si>
  <si>
    <t>"</t>
  </si>
  <si>
    <t>Columns</t>
  </si>
  <si>
    <t>The Expanded Metal Company Steel Façade Panels (sf)</t>
  </si>
  <si>
    <t>Beams</t>
  </si>
  <si>
    <t>Use Phase --&gt;</t>
  </si>
  <si>
    <t>Period Sum --&gt;</t>
  </si>
  <si>
    <t>Cumulative --&gt;</t>
  </si>
  <si>
    <t>Target --&gt;</t>
  </si>
  <si>
    <t>Excess --&gt;</t>
  </si>
  <si>
    <t>*VLOOKUP(Q4,'LCA Data'!$C$8:$T$95,18,FALSE)</t>
  </si>
  <si>
    <t>Price ($/tonne)</t>
  </si>
  <si>
    <t>Cost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</si>
</sst>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E+00"/>
    <numFmt numFmtId="165" formatCode="0.0%"/>
    <numFmt numFmtId="166" formatCode="#,##0.0"/>
    <numFmt numFmtId="167" formatCode="&quot;$&quot;#,##0_);[Red]\(&quot;$&quot;#,##0\)"/>
    <numFmt numFmtId="168" formatCode="0.0"/>
    <numFmt numFmtId="169" formatCode="0.000"/>
  </numFmts>
  <fonts count="47">
    <font>
      <sz val="10"/>
      <color theme="1"/>
      <name val="Menlo Regular"/>
      <scheme val="minor"/>
    </font>
    <font>
      <sz val="10"/>
      <color theme="1"/>
      <name val="Arial"/>
    </font>
    <font>
      <sz val="10"/>
      <color theme="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2"/>
      <color rgb="FFFFFFFF"/>
      <name val="Arial"/>
    </font>
    <font>
      <b/>
      <u/>
      <sz val="14"/>
      <color theme="0"/>
      <name val="Arial"/>
    </font>
    <font>
      <sz val="10"/>
      <name val="Menlo Regular"/>
    </font>
    <font>
      <b/>
      <u/>
      <sz val="14"/>
      <color theme="0"/>
      <name val="Arial"/>
    </font>
    <font>
      <b/>
      <sz val="12"/>
      <color theme="0"/>
      <name val="Arial"/>
    </font>
    <font>
      <b/>
      <sz val="10"/>
      <color theme="0"/>
      <name val="Arial"/>
    </font>
    <font>
      <i/>
      <sz val="10"/>
      <color theme="0"/>
      <name val="Arial"/>
    </font>
    <font>
      <b/>
      <i/>
      <sz val="12"/>
      <color rgb="FF76923C"/>
      <name val="Arial"/>
    </font>
    <font>
      <sz val="10"/>
      <color rgb="FF76923C"/>
      <name val="Arial"/>
    </font>
    <font>
      <b/>
      <i/>
      <sz val="12"/>
      <color rgb="FF548DD4"/>
      <name val="Arial"/>
    </font>
    <font>
      <sz val="10"/>
      <color theme="4"/>
      <name val="Arial"/>
    </font>
    <font>
      <b/>
      <i/>
      <sz val="12"/>
      <color rgb="FFFF0000"/>
      <name val="Arial"/>
    </font>
    <font>
      <sz val="10"/>
      <color rgb="FFFF0000"/>
      <name val="Arial"/>
    </font>
    <font>
      <sz val="10"/>
      <color rgb="FFFFFFFF"/>
      <name val="Arial"/>
    </font>
    <font>
      <b/>
      <sz val="16"/>
      <color theme="1"/>
      <name val="Arial"/>
    </font>
    <font>
      <sz val="10"/>
      <color rgb="FF548DD4"/>
      <name val="Arial"/>
    </font>
    <font>
      <sz val="12"/>
      <color theme="1"/>
      <name val="Arial"/>
    </font>
    <font>
      <b/>
      <sz val="10"/>
      <color rgb="FFFF6600"/>
      <name val="Arial"/>
    </font>
    <font>
      <sz val="10"/>
      <color rgb="FFFF6600"/>
      <name val="Arial"/>
    </font>
    <font>
      <b/>
      <sz val="10"/>
      <color rgb="FFFF0000"/>
      <name val="Arial"/>
    </font>
    <font>
      <b/>
      <sz val="10"/>
      <color rgb="FFFFFF00"/>
      <name val="Arial"/>
    </font>
    <font>
      <b/>
      <sz val="10"/>
      <color rgb="FF3366FF"/>
      <name val="Arial"/>
    </font>
    <font>
      <b/>
      <sz val="10"/>
      <color rgb="FF008000"/>
      <name val="Arial"/>
    </font>
    <font>
      <b/>
      <sz val="10"/>
      <color rgb="FF660066"/>
      <name val="Arial"/>
    </font>
    <font>
      <sz val="10"/>
      <color rgb="FFFFFF00"/>
      <name val="Arial"/>
    </font>
    <font>
      <sz val="10"/>
      <color rgb="FF3366FF"/>
      <name val="Arial"/>
    </font>
    <font>
      <sz val="10"/>
      <color rgb="FF008000"/>
      <name val="Arial"/>
    </font>
    <font>
      <sz val="10"/>
      <color rgb="FF660066"/>
      <name val="Arial"/>
    </font>
    <font>
      <sz val="11"/>
      <color theme="1"/>
      <name val="Calibri"/>
    </font>
    <font>
      <b/>
      <u/>
      <sz val="10"/>
      <color theme="0"/>
      <name val="Arial"/>
    </font>
    <font>
      <sz val="10"/>
      <color rgb="FF1F497D"/>
      <name val="Arial"/>
    </font>
    <font>
      <i/>
      <sz val="10"/>
      <color theme="1"/>
      <name val="Arial"/>
    </font>
    <font>
      <u/>
      <sz val="10"/>
      <color theme="10"/>
      <name val="Menlo Regular"/>
    </font>
    <font>
      <sz val="8"/>
      <color theme="1"/>
      <name val="Arial"/>
    </font>
    <font>
      <b/>
      <sz val="8"/>
      <color theme="1"/>
      <name val="Arial"/>
    </font>
    <font>
      <b/>
      <sz val="8"/>
      <color theme="0"/>
      <name val="Arial"/>
    </font>
    <font>
      <sz val="8"/>
      <color rgb="FFFF0000"/>
      <name val="Arial"/>
    </font>
    <font>
      <b/>
      <u/>
      <sz val="14"/>
      <name val="Arial"/>
      <family val="2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2DBDB"/>
        <bgColor rgb="FFF2DBDB"/>
      </patternFill>
    </fill>
    <fill>
      <patternFill patternType="solid">
        <fgColor rgb="FFC6D9F0"/>
        <bgColor rgb="FFC6D9F0"/>
      </patternFill>
    </fill>
    <fill>
      <patternFill patternType="solid">
        <fgColor rgb="FFBFBFBF"/>
        <bgColor rgb="FFBFBFB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5" fillId="4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3" fontId="10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3" fontId="13" fillId="2" borderId="1" xfId="0" applyNumberFormat="1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165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3" fontId="15" fillId="2" borderId="1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65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2" borderId="1" xfId="0" applyFont="1" applyFill="1" applyBorder="1"/>
    <xf numFmtId="0" fontId="18" fillId="4" borderId="4" xfId="0" applyFont="1" applyFill="1" applyBorder="1" applyAlignment="1">
      <alignment horizontal="center"/>
    </xf>
    <xf numFmtId="3" fontId="2" fillId="4" borderId="4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9" fillId="3" borderId="1" xfId="0" applyFont="1" applyFill="1" applyBorder="1"/>
    <xf numFmtId="3" fontId="1" fillId="2" borderId="1" xfId="0" applyNumberFormat="1" applyFont="1" applyFill="1" applyBorder="1"/>
    <xf numFmtId="3" fontId="20" fillId="2" borderId="1" xfId="0" applyNumberFormat="1" applyFont="1" applyFill="1" applyBorder="1" applyAlignment="1">
      <alignment horizontal="center"/>
    </xf>
    <xf numFmtId="11" fontId="20" fillId="2" borderId="1" xfId="0" applyNumberFormat="1" applyFont="1" applyFill="1" applyBorder="1" applyAlignment="1">
      <alignment horizontal="center"/>
    </xf>
    <xf numFmtId="165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3" borderId="1" xfId="0" applyFont="1" applyFill="1" applyBorder="1"/>
    <xf numFmtId="3" fontId="2" fillId="4" borderId="1" xfId="0" applyNumberFormat="1" applyFont="1" applyFill="1" applyBorder="1"/>
    <xf numFmtId="11" fontId="2" fillId="2" borderId="1" xfId="0" applyNumberFormat="1" applyFont="1" applyFill="1" applyBorder="1" applyAlignment="1">
      <alignment horizontal="center"/>
    </xf>
    <xf numFmtId="11" fontId="2" fillId="2" borderId="1" xfId="0" applyNumberFormat="1" applyFont="1" applyFill="1" applyBorder="1"/>
    <xf numFmtId="0" fontId="17" fillId="2" borderId="1" xfId="0" applyFont="1" applyFill="1" applyBorder="1"/>
    <xf numFmtId="0" fontId="11" fillId="2" borderId="1" xfId="0" applyFont="1" applyFill="1" applyBorder="1" applyAlignment="1">
      <alignment horizontal="right"/>
    </xf>
    <xf numFmtId="9" fontId="11" fillId="4" borderId="1" xfId="0" applyNumberFormat="1" applyFont="1" applyFill="1" applyBorder="1"/>
    <xf numFmtId="3" fontId="17" fillId="2" borderId="1" xfId="0" applyNumberFormat="1" applyFont="1" applyFill="1" applyBorder="1" applyAlignment="1">
      <alignment horizontal="center"/>
    </xf>
    <xf numFmtId="11" fontId="17" fillId="2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3" fontId="23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/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3" fontId="29" fillId="2" borderId="1" xfId="0" applyNumberFormat="1" applyFont="1" applyFill="1" applyBorder="1" applyAlignment="1">
      <alignment horizontal="center"/>
    </xf>
    <xf numFmtId="3" fontId="30" fillId="2" borderId="1" xfId="0" applyNumberFormat="1" applyFont="1" applyFill="1" applyBorder="1" applyAlignment="1">
      <alignment horizontal="center"/>
    </xf>
    <xf numFmtId="3" fontId="31" fillId="2" borderId="1" xfId="0" applyNumberFormat="1" applyFont="1" applyFill="1" applyBorder="1" applyAlignment="1">
      <alignment horizontal="center"/>
    </xf>
    <xf numFmtId="3" fontId="3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9" fontId="17" fillId="2" borderId="1" xfId="0" applyNumberFormat="1" applyFont="1" applyFill="1" applyBorder="1" applyAlignment="1">
      <alignment horizontal="center"/>
    </xf>
    <xf numFmtId="9" fontId="23" fillId="2" borderId="1" xfId="0" applyNumberFormat="1" applyFont="1" applyFill="1" applyBorder="1" applyAlignment="1">
      <alignment horizontal="center"/>
    </xf>
    <xf numFmtId="9" fontId="29" fillId="2" borderId="1" xfId="0" applyNumberFormat="1" applyFont="1" applyFill="1" applyBorder="1" applyAlignment="1">
      <alignment horizontal="center"/>
    </xf>
    <xf numFmtId="9" fontId="30" fillId="2" borderId="1" xfId="0" applyNumberFormat="1" applyFont="1" applyFill="1" applyBorder="1" applyAlignment="1">
      <alignment horizontal="center"/>
    </xf>
    <xf numFmtId="9" fontId="31" fillId="2" borderId="1" xfId="0" applyNumberFormat="1" applyFont="1" applyFill="1" applyBorder="1" applyAlignment="1">
      <alignment horizontal="center"/>
    </xf>
    <xf numFmtId="9" fontId="32" fillId="2" borderId="1" xfId="0" applyNumberFormat="1" applyFont="1" applyFill="1" applyBorder="1" applyAlignment="1">
      <alignment horizontal="center"/>
    </xf>
    <xf numFmtId="11" fontId="23" fillId="2" borderId="1" xfId="0" applyNumberFormat="1" applyFont="1" applyFill="1" applyBorder="1" applyAlignment="1">
      <alignment horizontal="center"/>
    </xf>
    <xf numFmtId="11" fontId="29" fillId="2" borderId="1" xfId="0" applyNumberFormat="1" applyFont="1" applyFill="1" applyBorder="1" applyAlignment="1">
      <alignment horizontal="center"/>
    </xf>
    <xf numFmtId="11" fontId="30" fillId="2" borderId="1" xfId="0" applyNumberFormat="1" applyFont="1" applyFill="1" applyBorder="1" applyAlignment="1">
      <alignment horizontal="center"/>
    </xf>
    <xf numFmtId="11" fontId="31" fillId="2" borderId="1" xfId="0" applyNumberFormat="1" applyFont="1" applyFill="1" applyBorder="1" applyAlignment="1">
      <alignment horizontal="center"/>
    </xf>
    <xf numFmtId="11" fontId="32" fillId="2" borderId="1" xfId="0" applyNumberFormat="1" applyFont="1" applyFill="1" applyBorder="1" applyAlignment="1">
      <alignment horizontal="center"/>
    </xf>
    <xf numFmtId="11" fontId="1" fillId="2" borderId="1" xfId="0" applyNumberFormat="1" applyFont="1" applyFill="1" applyBorder="1"/>
    <xf numFmtId="3" fontId="1" fillId="3" borderId="1" xfId="0" applyNumberFormat="1" applyFont="1" applyFill="1" applyBorder="1"/>
    <xf numFmtId="9" fontId="1" fillId="3" borderId="1" xfId="0" applyNumberFormat="1" applyFont="1" applyFill="1" applyBorder="1"/>
    <xf numFmtId="3" fontId="2" fillId="2" borderId="1" xfId="0" applyNumberFormat="1" applyFont="1" applyFill="1" applyBorder="1"/>
    <xf numFmtId="11" fontId="1" fillId="3" borderId="1" xfId="0" applyNumberFormat="1" applyFont="1" applyFill="1" applyBorder="1"/>
    <xf numFmtId="167" fontId="1" fillId="3" borderId="1" xfId="0" applyNumberFormat="1" applyFont="1" applyFill="1" applyBorder="1"/>
    <xf numFmtId="0" fontId="33" fillId="0" borderId="0" xfId="0" applyFont="1"/>
    <xf numFmtId="2" fontId="33" fillId="0" borderId="0" xfId="0" applyNumberFormat="1" applyFont="1"/>
    <xf numFmtId="164" fontId="33" fillId="0" borderId="0" xfId="0" applyNumberFormat="1" applyFont="1"/>
    <xf numFmtId="168" fontId="33" fillId="0" borderId="0" xfId="0" applyNumberFormat="1" applyFont="1"/>
    <xf numFmtId="9" fontId="33" fillId="0" borderId="0" xfId="0" applyNumberFormat="1" applyFont="1"/>
    <xf numFmtId="0" fontId="19" fillId="0" borderId="0" xfId="0" applyFont="1"/>
    <xf numFmtId="0" fontId="4" fillId="0" borderId="0" xfId="0" applyFont="1"/>
    <xf numFmtId="1" fontId="1" fillId="5" borderId="1" xfId="0" applyNumberFormat="1" applyFont="1" applyFill="1" applyBorder="1" applyAlignment="1">
      <alignment horizontal="center"/>
    </xf>
    <xf numFmtId="11" fontId="1" fillId="5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1" fontId="1" fillId="6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11" fontId="1" fillId="7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11" fontId="1" fillId="8" borderId="1" xfId="0" applyNumberFormat="1" applyFont="1" applyFill="1" applyBorder="1" applyAlignment="1">
      <alignment horizontal="center"/>
    </xf>
    <xf numFmtId="2" fontId="35" fillId="6" borderId="1" xfId="0" applyNumberFormat="1" applyFont="1" applyFill="1" applyBorder="1" applyAlignment="1">
      <alignment horizontal="center"/>
    </xf>
    <xf numFmtId="11" fontId="35" fillId="6" borderId="1" xfId="0" applyNumberFormat="1" applyFont="1" applyFill="1" applyBorder="1" applyAlignment="1">
      <alignment horizontal="center"/>
    </xf>
    <xf numFmtId="0" fontId="17" fillId="0" borderId="0" xfId="0" applyFont="1"/>
    <xf numFmtId="1" fontId="17" fillId="5" borderId="1" xfId="0" applyNumberFormat="1" applyFont="1" applyFill="1" applyBorder="1" applyAlignment="1">
      <alignment horizontal="center"/>
    </xf>
    <xf numFmtId="11" fontId="17" fillId="5" borderId="1" xfId="0" applyNumberFormat="1" applyFont="1" applyFill="1" applyBorder="1" applyAlignment="1">
      <alignment horizontal="center"/>
    </xf>
    <xf numFmtId="2" fontId="17" fillId="6" borderId="1" xfId="0" applyNumberFormat="1" applyFont="1" applyFill="1" applyBorder="1" applyAlignment="1">
      <alignment horizontal="center"/>
    </xf>
    <xf numFmtId="11" fontId="17" fillId="6" borderId="1" xfId="0" applyNumberFormat="1" applyFont="1" applyFill="1" applyBorder="1" applyAlignment="1">
      <alignment horizontal="center"/>
    </xf>
    <xf numFmtId="2" fontId="17" fillId="7" borderId="1" xfId="0" applyNumberFormat="1" applyFont="1" applyFill="1" applyBorder="1" applyAlignment="1">
      <alignment horizontal="center"/>
    </xf>
    <xf numFmtId="11" fontId="17" fillId="7" borderId="1" xfId="0" applyNumberFormat="1" applyFont="1" applyFill="1" applyBorder="1" applyAlignment="1">
      <alignment horizontal="center"/>
    </xf>
    <xf numFmtId="2" fontId="17" fillId="8" borderId="1" xfId="0" applyNumberFormat="1" applyFont="1" applyFill="1" applyBorder="1" applyAlignment="1">
      <alignment horizontal="center"/>
    </xf>
    <xf numFmtId="11" fontId="17" fillId="8" borderId="1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36" fillId="0" borderId="0" xfId="0" applyFont="1"/>
    <xf numFmtId="169" fontId="1" fillId="0" borderId="0" xfId="0" applyNumberFormat="1" applyFont="1"/>
    <xf numFmtId="16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3" fontId="1" fillId="9" borderId="1" xfId="0" applyNumberFormat="1" applyFont="1" applyFill="1" applyBorder="1" applyAlignment="1">
      <alignment horizont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2" borderId="1" xfId="0" applyFont="1" applyFill="1" applyBorder="1"/>
    <xf numFmtId="3" fontId="38" fillId="0" borderId="0" xfId="0" applyNumberFormat="1" applyFont="1"/>
    <xf numFmtId="3" fontId="38" fillId="10" borderId="1" xfId="0" applyNumberFormat="1" applyFont="1" applyFill="1" applyBorder="1"/>
    <xf numFmtId="3" fontId="38" fillId="11" borderId="1" xfId="0" applyNumberFormat="1" applyFont="1" applyFill="1" applyBorder="1"/>
    <xf numFmtId="3" fontId="38" fillId="12" borderId="1" xfId="0" applyNumberFormat="1" applyFont="1" applyFill="1" applyBorder="1"/>
    <xf numFmtId="3" fontId="38" fillId="13" borderId="1" xfId="0" applyNumberFormat="1" applyFont="1" applyFill="1" applyBorder="1"/>
    <xf numFmtId="11" fontId="38" fillId="10" borderId="1" xfId="0" applyNumberFormat="1" applyFont="1" applyFill="1" applyBorder="1"/>
    <xf numFmtId="11" fontId="38" fillId="11" borderId="1" xfId="0" applyNumberFormat="1" applyFont="1" applyFill="1" applyBorder="1"/>
    <xf numFmtId="11" fontId="38" fillId="12" borderId="1" xfId="0" applyNumberFormat="1" applyFont="1" applyFill="1" applyBorder="1"/>
    <xf numFmtId="11" fontId="38" fillId="13" borderId="1" xfId="0" applyNumberFormat="1" applyFont="1" applyFill="1" applyBorder="1"/>
    <xf numFmtId="0" fontId="38" fillId="0" borderId="0" xfId="0" applyFont="1" applyAlignment="1">
      <alignment horizontal="center"/>
    </xf>
    <xf numFmtId="0" fontId="41" fillId="0" borderId="0" xfId="0" applyFont="1"/>
    <xf numFmtId="0" fontId="38" fillId="14" borderId="1" xfId="0" applyFont="1" applyFill="1" applyBorder="1"/>
    <xf numFmtId="3" fontId="38" fillId="14" borderId="1" xfId="0" applyNumberFormat="1" applyFont="1" applyFill="1" applyBorder="1"/>
    <xf numFmtId="11" fontId="38" fillId="0" borderId="0" xfId="0" applyNumberFormat="1" applyFont="1"/>
    <xf numFmtId="9" fontId="38" fillId="0" borderId="0" xfId="0" applyNumberFormat="1" applyFont="1"/>
    <xf numFmtId="167" fontId="38" fillId="14" borderId="1" xfId="0" applyNumberFormat="1" applyFont="1" applyFill="1" applyBorder="1"/>
    <xf numFmtId="167" fontId="38" fillId="0" borderId="0" xfId="0" applyNumberFormat="1" applyFont="1"/>
    <xf numFmtId="0" fontId="43" fillId="0" borderId="5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3" fontId="45" fillId="0" borderId="5" xfId="0" applyNumberFormat="1" applyFont="1" applyBorder="1" applyAlignment="1">
      <alignment horizontal="center"/>
    </xf>
    <xf numFmtId="0" fontId="46" fillId="0" borderId="5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7" fillId="0" borderId="3" xfId="0" applyFont="1" applyBorder="1"/>
    <xf numFmtId="0" fontId="42" fillId="0" borderId="6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</cellXfs>
  <cellStyles count="1">
    <cellStyle name="Normalny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1313986695059345"/>
          <c:y val="0.18935239478043966"/>
          <c:w val="0.45093954450662227"/>
          <c:h val="0.75294056328065373"/>
        </c:manualLayout>
      </c:layout>
      <c:radarChart>
        <c:radarStyle val="marker"/>
        <c:varyColors val="1"/>
        <c:ser>
          <c:idx val="0"/>
          <c:order val="0"/>
          <c:tx>
            <c:strRef>
              <c:f>Results!$C$8</c:f>
              <c:strCache>
                <c:ptCount val="1"/>
                <c:pt idx="0">
                  <c:v>Target</c:v>
                </c:pt>
              </c:strCache>
            </c:strRef>
          </c:tx>
          <c:spPr>
            <a:ln cmpd="sng">
              <a:solidFill>
                <a:schemeClr val="accent2"/>
              </a:solidFill>
              <a:prstDash val="dash"/>
            </a:ln>
          </c:spPr>
          <c:marker>
            <c:symbol val="none"/>
          </c:marker>
          <c:cat>
            <c:strRef>
              <c:f>Results!$B$9:$B$11</c:f>
              <c:strCache>
                <c:ptCount val="3"/>
                <c:pt idx="0">
                  <c:v>Carbon (kgCO2e)</c:v>
                </c:pt>
                <c:pt idx="1">
                  <c:v>Energy (MJ)</c:v>
                </c:pt>
                <c:pt idx="2">
                  <c:v>Water (kgH2O)</c:v>
                </c:pt>
              </c:strCache>
            </c:strRef>
          </c:cat>
          <c:val>
            <c:numRef>
              <c:f>Results!$F$9:$F$11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9-4212-8F19-46D68C897773}"/>
            </c:ext>
          </c:extLst>
        </c:ser>
        <c:ser>
          <c:idx val="1"/>
          <c:order val="1"/>
          <c:tx>
            <c:strRef>
              <c:f>Results!$D$8</c:f>
              <c:strCache>
                <c:ptCount val="1"/>
                <c:pt idx="0">
                  <c:v>Project</c:v>
                </c:pt>
              </c:strCache>
            </c:strRef>
          </c:tx>
          <c:spPr>
            <a:ln cmpd="sng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Results!$B$9:$B$11</c:f>
              <c:strCache>
                <c:ptCount val="3"/>
                <c:pt idx="0">
                  <c:v>Carbon (kgCO2e)</c:v>
                </c:pt>
                <c:pt idx="1">
                  <c:v>Energy (MJ)</c:v>
                </c:pt>
                <c:pt idx="2">
                  <c:v>Water (kgH2O)</c:v>
                </c:pt>
              </c:strCache>
            </c:strRef>
          </c:cat>
          <c:val>
            <c:numRef>
              <c:f>Results!$E$9:$E$11</c:f>
              <c:numCache>
                <c:formatCode>0%</c:formatCode>
                <c:ptCount val="3"/>
                <c:pt idx="0">
                  <c:v>0.26933001940965984</c:v>
                </c:pt>
                <c:pt idx="1">
                  <c:v>0.16271816774152503</c:v>
                </c:pt>
                <c:pt idx="2">
                  <c:v>0.60722695112729375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9-4212-8F19-46D68C897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391900"/>
        <c:axId val="233001097"/>
      </c:radarChart>
      <c:catAx>
        <c:axId val="191839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233001097"/>
        <c:crosses val="autoZero"/>
        <c:auto val="1"/>
        <c:lblAlgn val="ctr"/>
        <c:lblOffset val="100"/>
        <c:noMultiLvlLbl val="1"/>
      </c:catAx>
      <c:valAx>
        <c:axId val="233001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l-PL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1918391900"/>
        <c:crosses val="autoZero"/>
        <c:crossBetween val="between"/>
        <c:majorUnit val="0.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0144-4EA5-ABD8-46B654D70902}"/>
              </c:ext>
            </c:extLst>
          </c:dPt>
          <c:cat>
            <c:strRef>
              <c:f>Results!$C$30:$E$30</c:f>
              <c:strCache>
                <c:ptCount val="3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</c:strCache>
            </c:strRef>
          </c:cat>
          <c:val>
            <c:numRef>
              <c:f>Results!$C$31:$E$31</c:f>
              <c:numCache>
                <c:formatCode>#,##0</c:formatCode>
                <c:ptCount val="3"/>
                <c:pt idx="0">
                  <c:v>789500.72727103392</c:v>
                </c:pt>
                <c:pt idx="1">
                  <c:v>47434.981118133946</c:v>
                </c:pt>
                <c:pt idx="2">
                  <c:v>921302.81839410414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44-4EA5-ABD8-46B654D70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81E5-4506-8BE3-9A3D24F4B153}"/>
              </c:ext>
            </c:extLst>
          </c:dPt>
          <c:cat>
            <c:strRef>
              <c:f>Results!$C$30:$H$30</c:f>
              <c:strCache>
                <c:ptCount val="6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  <c:pt idx="3">
                  <c:v>Electricity</c:v>
                </c:pt>
                <c:pt idx="4">
                  <c:v>Heating</c:v>
                </c:pt>
                <c:pt idx="5">
                  <c:v>Water Use</c:v>
                </c:pt>
              </c:strCache>
            </c:strRef>
          </c:cat>
          <c:val>
            <c:numRef>
              <c:f>Results!$C$31:$H$31</c:f>
              <c:numCache>
                <c:formatCode>#,##0</c:formatCode>
                <c:ptCount val="6"/>
                <c:pt idx="0">
                  <c:v>789500.72727103392</c:v>
                </c:pt>
                <c:pt idx="1">
                  <c:v>47434.981118133946</c:v>
                </c:pt>
                <c:pt idx="2">
                  <c:v>921302.81839410414</c:v>
                </c:pt>
                <c:pt idx="3">
                  <c:v>0</c:v>
                </c:pt>
                <c:pt idx="4">
                  <c:v>0</c:v>
                </c:pt>
                <c:pt idx="5">
                  <c:v>45414.053999999996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E5-4506-8BE3-9A3D24F4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773-4479-8760-DF7BBAB29A80}"/>
              </c:ext>
            </c:extLst>
          </c:dPt>
          <c:cat>
            <c:strRef>
              <c:f>Results!$C$30:$E$30</c:f>
              <c:strCache>
                <c:ptCount val="3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</c:strCache>
            </c:strRef>
          </c:cat>
          <c:val>
            <c:numRef>
              <c:f>Results!$C$33:$E$33</c:f>
              <c:numCache>
                <c:formatCode>#,##0</c:formatCode>
                <c:ptCount val="3"/>
                <c:pt idx="0">
                  <c:v>8697771.53213582</c:v>
                </c:pt>
                <c:pt idx="1">
                  <c:v>730529.07563135726</c:v>
                </c:pt>
                <c:pt idx="2">
                  <c:v>12946776.25915157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3-4479-8760-DF7BBAB29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BE76-4BC1-A625-FC4C5F67A0B9}"/>
              </c:ext>
            </c:extLst>
          </c:dPt>
          <c:cat>
            <c:strRef>
              <c:f>Results!$C$30:$H$30</c:f>
              <c:strCache>
                <c:ptCount val="6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  <c:pt idx="3">
                  <c:v>Electricity</c:v>
                </c:pt>
                <c:pt idx="4">
                  <c:v>Heating</c:v>
                </c:pt>
                <c:pt idx="5">
                  <c:v>Water Use</c:v>
                </c:pt>
              </c:strCache>
            </c:strRef>
          </c:cat>
          <c:val>
            <c:numRef>
              <c:f>Results!$C$33:$H$33</c:f>
              <c:numCache>
                <c:formatCode>#,##0</c:formatCode>
                <c:ptCount val="6"/>
                <c:pt idx="0">
                  <c:v>8697771.53213582</c:v>
                </c:pt>
                <c:pt idx="1">
                  <c:v>730529.07563135726</c:v>
                </c:pt>
                <c:pt idx="2">
                  <c:v>12946776.25915157</c:v>
                </c:pt>
                <c:pt idx="3">
                  <c:v>0</c:v>
                </c:pt>
                <c:pt idx="4">
                  <c:v>0</c:v>
                </c:pt>
                <c:pt idx="5">
                  <c:v>506239.08431040001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6-4BC1-A625-FC4C5F67A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9D56-491A-A3FA-BA79CBC93729}"/>
              </c:ext>
            </c:extLst>
          </c:dPt>
          <c:cat>
            <c:strRef>
              <c:f>Results!$C$30:$E$30</c:f>
              <c:strCache>
                <c:ptCount val="3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</c:strCache>
            </c:strRef>
          </c:cat>
          <c:val>
            <c:numRef>
              <c:f>Results!$C$35:$E$35</c:f>
              <c:numCache>
                <c:formatCode>#,##0</c:formatCode>
                <c:ptCount val="3"/>
                <c:pt idx="0">
                  <c:v>8963649.6438869275</c:v>
                </c:pt>
                <c:pt idx="1">
                  <c:v>169235.2574178082</c:v>
                </c:pt>
                <c:pt idx="2">
                  <c:v>7675759.7925323397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6-491A-A3FA-BA79CBC93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8B7B-439D-8991-D764887F5968}"/>
              </c:ext>
            </c:extLst>
          </c:dPt>
          <c:cat>
            <c:strRef>
              <c:f>Results!$C$30:$H$30</c:f>
              <c:strCache>
                <c:ptCount val="6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  <c:pt idx="3">
                  <c:v>Electricity</c:v>
                </c:pt>
                <c:pt idx="4">
                  <c:v>Heating</c:v>
                </c:pt>
                <c:pt idx="5">
                  <c:v>Water Use</c:v>
                </c:pt>
              </c:strCache>
            </c:strRef>
          </c:cat>
          <c:val>
            <c:numRef>
              <c:f>Results!$C$35:$H$35</c:f>
              <c:numCache>
                <c:formatCode>#,##0</c:formatCode>
                <c:ptCount val="6"/>
                <c:pt idx="0">
                  <c:v>8963649.6438869275</c:v>
                </c:pt>
                <c:pt idx="1">
                  <c:v>169235.2574178082</c:v>
                </c:pt>
                <c:pt idx="2">
                  <c:v>7675759.7925323397</c:v>
                </c:pt>
                <c:pt idx="3">
                  <c:v>0</c:v>
                </c:pt>
                <c:pt idx="4">
                  <c:v>0</c:v>
                </c:pt>
                <c:pt idx="5">
                  <c:v>145234734.79500002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B-439D-8991-D764887F5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A042-4B8B-9434-CE888B6F196A}"/>
              </c:ext>
            </c:extLst>
          </c:dPt>
          <c:cat>
            <c:strRef>
              <c:f>Results!$C$30:$E$30</c:f>
              <c:strCache>
                <c:ptCount val="3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</c:strCache>
            </c:strRef>
          </c:cat>
          <c:val>
            <c:numRef>
              <c:f>Results!$C$37:$E$37</c:f>
              <c:numCache>
                <c:formatCode>0.00E+00</c:formatCode>
                <c:ptCount val="3"/>
                <c:pt idx="0">
                  <c:v>3.5283364761978325E-2</c:v>
                </c:pt>
                <c:pt idx="1">
                  <c:v>7.5268527937151801E-3</c:v>
                </c:pt>
                <c:pt idx="2">
                  <c:v>3.7630014547804852E-5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2-4B8B-9434-CE888B6F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4BD2-480E-B056-8917C9A77A2B}"/>
              </c:ext>
            </c:extLst>
          </c:dPt>
          <c:cat>
            <c:strRef>
              <c:f>Results!$C$30:$H$30</c:f>
              <c:strCache>
                <c:ptCount val="6"/>
                <c:pt idx="0">
                  <c:v>Materials</c:v>
                </c:pt>
                <c:pt idx="1">
                  <c:v>Transport</c:v>
                </c:pt>
                <c:pt idx="2">
                  <c:v>Construction</c:v>
                </c:pt>
                <c:pt idx="3">
                  <c:v>Electricity</c:v>
                </c:pt>
                <c:pt idx="4">
                  <c:v>Heating</c:v>
                </c:pt>
                <c:pt idx="5">
                  <c:v>Water Use</c:v>
                </c:pt>
              </c:strCache>
            </c:strRef>
          </c:cat>
          <c:val>
            <c:numRef>
              <c:f>Results!$C$37:$H$37</c:f>
              <c:numCache>
                <c:formatCode>0.00E+00</c:formatCode>
                <c:ptCount val="6"/>
                <c:pt idx="0">
                  <c:v>3.5283364761978325E-2</c:v>
                </c:pt>
                <c:pt idx="1">
                  <c:v>7.5268527937151801E-3</c:v>
                </c:pt>
                <c:pt idx="2">
                  <c:v>3.7630014547804852E-5</c:v>
                </c:pt>
                <c:pt idx="3">
                  <c:v>0</c:v>
                </c:pt>
                <c:pt idx="4">
                  <c:v>0</c:v>
                </c:pt>
                <c:pt idx="5">
                  <c:v>2.3208444E-3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2-480E-B056-8917C9A7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Project Carbon (kgCO2e)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Lists!$AL$3:$CJ$3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Lists!$AL$47:$CJ$47</c:f>
              <c:numCache>
                <c:formatCode>#,##0</c:formatCode>
                <c:ptCount val="51"/>
                <c:pt idx="0">
                  <c:v>1758238.5267832722</c:v>
                </c:pt>
                <c:pt idx="1">
                  <c:v>1759146.8078632723</c:v>
                </c:pt>
                <c:pt idx="2">
                  <c:v>1760055.0889432724</c:v>
                </c:pt>
                <c:pt idx="3">
                  <c:v>1760963.3700232725</c:v>
                </c:pt>
                <c:pt idx="4">
                  <c:v>1761871.6511032726</c:v>
                </c:pt>
                <c:pt idx="5">
                  <c:v>1762779.9321832727</c:v>
                </c:pt>
                <c:pt idx="6">
                  <c:v>1763688.2132632728</c:v>
                </c:pt>
                <c:pt idx="7">
                  <c:v>1764596.4943432729</c:v>
                </c:pt>
                <c:pt idx="8">
                  <c:v>1765504.775423273</c:v>
                </c:pt>
                <c:pt idx="9">
                  <c:v>1766413.0565032731</c:v>
                </c:pt>
                <c:pt idx="10">
                  <c:v>1767321.3375832732</c:v>
                </c:pt>
                <c:pt idx="11">
                  <c:v>1768229.6186632733</c:v>
                </c:pt>
                <c:pt idx="12">
                  <c:v>1769137.8997432734</c:v>
                </c:pt>
                <c:pt idx="13">
                  <c:v>1770046.1808232735</c:v>
                </c:pt>
                <c:pt idx="14">
                  <c:v>1770954.4619032736</c:v>
                </c:pt>
                <c:pt idx="15">
                  <c:v>1771862.7429832737</c:v>
                </c:pt>
                <c:pt idx="16">
                  <c:v>1772771.0240632738</c:v>
                </c:pt>
                <c:pt idx="17">
                  <c:v>1773679.3051432739</c:v>
                </c:pt>
                <c:pt idx="18">
                  <c:v>1774587.586223274</c:v>
                </c:pt>
                <c:pt idx="19">
                  <c:v>1775495.8673032741</c:v>
                </c:pt>
                <c:pt idx="20">
                  <c:v>1776404.1483832742</c:v>
                </c:pt>
                <c:pt idx="21">
                  <c:v>1777312.4294632743</c:v>
                </c:pt>
                <c:pt idx="22">
                  <c:v>1778220.7105432744</c:v>
                </c:pt>
                <c:pt idx="23">
                  <c:v>1779128.9916232745</c:v>
                </c:pt>
                <c:pt idx="24">
                  <c:v>1780037.2727032746</c:v>
                </c:pt>
                <c:pt idx="25">
                  <c:v>1837366.0338993229</c:v>
                </c:pt>
                <c:pt idx="26">
                  <c:v>1838274.314979323</c:v>
                </c:pt>
                <c:pt idx="27">
                  <c:v>1839182.5960593231</c:v>
                </c:pt>
                <c:pt idx="28">
                  <c:v>1840090.8771393232</c:v>
                </c:pt>
                <c:pt idx="29">
                  <c:v>1840999.1582193233</c:v>
                </c:pt>
                <c:pt idx="30">
                  <c:v>1945391.9392993231</c:v>
                </c:pt>
                <c:pt idx="31">
                  <c:v>1946300.2203793232</c:v>
                </c:pt>
                <c:pt idx="32">
                  <c:v>1947208.5014593233</c:v>
                </c:pt>
                <c:pt idx="33">
                  <c:v>1948116.7825393234</c:v>
                </c:pt>
                <c:pt idx="34">
                  <c:v>1949025.0636193235</c:v>
                </c:pt>
                <c:pt idx="35">
                  <c:v>1950321.3446993236</c:v>
                </c:pt>
                <c:pt idx="36">
                  <c:v>1951229.6257793237</c:v>
                </c:pt>
                <c:pt idx="37">
                  <c:v>1952137.9068593238</c:v>
                </c:pt>
                <c:pt idx="38">
                  <c:v>1953046.187939324</c:v>
                </c:pt>
                <c:pt idx="39">
                  <c:v>1953954.4690193241</c:v>
                </c:pt>
                <c:pt idx="40">
                  <c:v>1983117.3657554244</c:v>
                </c:pt>
                <c:pt idx="41">
                  <c:v>1984025.6468354245</c:v>
                </c:pt>
                <c:pt idx="42">
                  <c:v>1984933.9279154246</c:v>
                </c:pt>
                <c:pt idx="43">
                  <c:v>1985842.2089954247</c:v>
                </c:pt>
                <c:pt idx="44">
                  <c:v>1986750.4900754248</c:v>
                </c:pt>
                <c:pt idx="45">
                  <c:v>1987658.7711554249</c:v>
                </c:pt>
                <c:pt idx="46">
                  <c:v>1988567.052235425</c:v>
                </c:pt>
                <c:pt idx="47">
                  <c:v>1989475.3333154251</c:v>
                </c:pt>
                <c:pt idx="48">
                  <c:v>1990383.6143954252</c:v>
                </c:pt>
                <c:pt idx="49">
                  <c:v>1991291.8954754253</c:v>
                </c:pt>
                <c:pt idx="50">
                  <c:v>1992200.1765554254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3-4958-9D6C-CB34E28F1170}"/>
            </c:ext>
          </c:extLst>
        </c:ser>
        <c:ser>
          <c:idx val="1"/>
          <c:order val="1"/>
          <c:tx>
            <c:v>Carbon Target</c:v>
          </c:tx>
          <c:spPr>
            <a:ln w="38100" cmpd="sng">
              <a:solidFill>
                <a:srgbClr val="FF660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Lists!$AL$3:$CJ$3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Lists!$AL$48:$CJ$48</c:f>
              <c:numCache>
                <c:formatCode>#,##0</c:formatCode>
                <c:ptCount val="51"/>
                <c:pt idx="0">
                  <c:v>7396873.8461538451</c:v>
                </c:pt>
                <c:pt idx="1">
                  <c:v>7396873.8461538451</c:v>
                </c:pt>
                <c:pt idx="2">
                  <c:v>7396873.8461538451</c:v>
                </c:pt>
                <c:pt idx="3">
                  <c:v>7396873.8461538451</c:v>
                </c:pt>
                <c:pt idx="4">
                  <c:v>7396873.8461538451</c:v>
                </c:pt>
                <c:pt idx="5">
                  <c:v>7396873.8461538451</c:v>
                </c:pt>
                <c:pt idx="6">
                  <c:v>7396873.8461538451</c:v>
                </c:pt>
                <c:pt idx="7">
                  <c:v>7396873.8461538451</c:v>
                </c:pt>
                <c:pt idx="8">
                  <c:v>7396873.8461538451</c:v>
                </c:pt>
                <c:pt idx="9">
                  <c:v>7396873.8461538451</c:v>
                </c:pt>
                <c:pt idx="10">
                  <c:v>7396873.8461538451</c:v>
                </c:pt>
                <c:pt idx="11">
                  <c:v>7396873.8461538451</c:v>
                </c:pt>
                <c:pt idx="12">
                  <c:v>7396873.8461538451</c:v>
                </c:pt>
                <c:pt idx="13">
                  <c:v>7396873.8461538451</c:v>
                </c:pt>
                <c:pt idx="14">
                  <c:v>7396873.8461538451</c:v>
                </c:pt>
                <c:pt idx="15">
                  <c:v>7396873.8461538451</c:v>
                </c:pt>
                <c:pt idx="16">
                  <c:v>7396873.8461538451</c:v>
                </c:pt>
                <c:pt idx="17">
                  <c:v>7396873.8461538451</c:v>
                </c:pt>
                <c:pt idx="18">
                  <c:v>7396873.8461538451</c:v>
                </c:pt>
                <c:pt idx="19">
                  <c:v>7396873.8461538451</c:v>
                </c:pt>
                <c:pt idx="20">
                  <c:v>7396873.8461538451</c:v>
                </c:pt>
                <c:pt idx="21">
                  <c:v>7396873.8461538451</c:v>
                </c:pt>
                <c:pt idx="22">
                  <c:v>7396873.8461538451</c:v>
                </c:pt>
                <c:pt idx="23">
                  <c:v>7396873.8461538451</c:v>
                </c:pt>
                <c:pt idx="24">
                  <c:v>7396873.8461538451</c:v>
                </c:pt>
                <c:pt idx="25">
                  <c:v>7396873.8461538451</c:v>
                </c:pt>
                <c:pt idx="26">
                  <c:v>7396873.8461538451</c:v>
                </c:pt>
                <c:pt idx="27">
                  <c:v>7396873.8461538451</c:v>
                </c:pt>
                <c:pt idx="28">
                  <c:v>7396873.8461538451</c:v>
                </c:pt>
                <c:pt idx="29">
                  <c:v>7396873.8461538451</c:v>
                </c:pt>
                <c:pt idx="30">
                  <c:v>7396873.8461538451</c:v>
                </c:pt>
                <c:pt idx="31">
                  <c:v>7396873.8461538451</c:v>
                </c:pt>
                <c:pt idx="32">
                  <c:v>7396873.8461538451</c:v>
                </c:pt>
                <c:pt idx="33">
                  <c:v>7396873.8461538451</c:v>
                </c:pt>
                <c:pt idx="34">
                  <c:v>7396873.8461538451</c:v>
                </c:pt>
                <c:pt idx="35">
                  <c:v>7396873.8461538451</c:v>
                </c:pt>
                <c:pt idx="36">
                  <c:v>7396873.8461538451</c:v>
                </c:pt>
                <c:pt idx="37">
                  <c:v>7396873.8461538451</c:v>
                </c:pt>
                <c:pt idx="38">
                  <c:v>7396873.8461538451</c:v>
                </c:pt>
                <c:pt idx="39">
                  <c:v>7396873.8461538451</c:v>
                </c:pt>
                <c:pt idx="40">
                  <c:v>7396873.8461538451</c:v>
                </c:pt>
                <c:pt idx="41">
                  <c:v>7396873.8461538451</c:v>
                </c:pt>
                <c:pt idx="42">
                  <c:v>7396873.8461538451</c:v>
                </c:pt>
                <c:pt idx="43">
                  <c:v>7396873.8461538451</c:v>
                </c:pt>
                <c:pt idx="44">
                  <c:v>7396873.8461538451</c:v>
                </c:pt>
                <c:pt idx="45">
                  <c:v>7396873.8461538451</c:v>
                </c:pt>
                <c:pt idx="46">
                  <c:v>7396873.8461538451</c:v>
                </c:pt>
                <c:pt idx="47">
                  <c:v>7396873.8461538451</c:v>
                </c:pt>
                <c:pt idx="48">
                  <c:v>7396873.8461538451</c:v>
                </c:pt>
                <c:pt idx="49">
                  <c:v>7396873.8461538451</c:v>
                </c:pt>
                <c:pt idx="50">
                  <c:v>7396873.8461538451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3-4958-9D6C-CB34E28F1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679804"/>
        <c:axId val="666125881"/>
      </c:lineChart>
      <c:catAx>
        <c:axId val="1965679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666125881"/>
        <c:crosses val="autoZero"/>
        <c:auto val="1"/>
        <c:lblAlgn val="ctr"/>
        <c:lblOffset val="100"/>
        <c:noMultiLvlLbl val="1"/>
      </c:catAx>
      <c:valAx>
        <c:axId val="666125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Carbon (kgCO2e)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l-PL"/>
          </a:p>
        </c:txPr>
        <c:crossAx val="196567980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l-P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7</xdr:row>
      <xdr:rowOff>38100</xdr:rowOff>
    </xdr:from>
    <xdr:ext cx="4543425" cy="2686050"/>
    <xdr:graphicFrame macro="">
      <xdr:nvGraphicFramePr>
        <xdr:cNvPr id="1839618381" name="Chart 1">
          <a:extLst>
            <a:ext uri="{FF2B5EF4-FFF2-40B4-BE49-F238E27FC236}">
              <a16:creationId xmlns:a16="http://schemas.microsoft.com/office/drawing/2014/main" id="{00000000-0008-0000-0200-00004D59A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9525</xdr:colOff>
      <xdr:row>41</xdr:row>
      <xdr:rowOff>9525</xdr:rowOff>
    </xdr:from>
    <xdr:ext cx="4552950" cy="2686050"/>
    <xdr:graphicFrame macro="">
      <xdr:nvGraphicFramePr>
        <xdr:cNvPr id="1013637026" name="Chart 2">
          <a:extLst>
            <a:ext uri="{FF2B5EF4-FFF2-40B4-BE49-F238E27FC236}">
              <a16:creationId xmlns:a16="http://schemas.microsoft.com/office/drawing/2014/main" id="{00000000-0008-0000-0200-0000A2DF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9525</xdr:colOff>
      <xdr:row>41</xdr:row>
      <xdr:rowOff>9525</xdr:rowOff>
    </xdr:from>
    <xdr:ext cx="4524375" cy="2686050"/>
    <xdr:graphicFrame macro="">
      <xdr:nvGraphicFramePr>
        <xdr:cNvPr id="695424399" name="Chart 3">
          <a:extLst>
            <a:ext uri="{FF2B5EF4-FFF2-40B4-BE49-F238E27FC236}">
              <a16:creationId xmlns:a16="http://schemas.microsoft.com/office/drawing/2014/main" id="{00000000-0008-0000-0200-00008F557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19050</xdr:colOff>
      <xdr:row>61</xdr:row>
      <xdr:rowOff>0</xdr:rowOff>
    </xdr:from>
    <xdr:ext cx="4552950" cy="2686050"/>
    <xdr:graphicFrame macro="">
      <xdr:nvGraphicFramePr>
        <xdr:cNvPr id="1810960660" name="Chart 4">
          <a:extLst>
            <a:ext uri="{FF2B5EF4-FFF2-40B4-BE49-F238E27FC236}">
              <a16:creationId xmlns:a16="http://schemas.microsoft.com/office/drawing/2014/main" id="{00000000-0008-0000-0200-00001411F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9525</xdr:colOff>
      <xdr:row>61</xdr:row>
      <xdr:rowOff>9525</xdr:rowOff>
    </xdr:from>
    <xdr:ext cx="4524375" cy="2686050"/>
    <xdr:graphicFrame macro="">
      <xdr:nvGraphicFramePr>
        <xdr:cNvPr id="1383883339" name="Chart 5">
          <a:extLst>
            <a:ext uri="{FF2B5EF4-FFF2-40B4-BE49-F238E27FC236}">
              <a16:creationId xmlns:a16="http://schemas.microsoft.com/office/drawing/2014/main" id="{00000000-0008-0000-0200-00004B627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9525</xdr:colOff>
      <xdr:row>81</xdr:row>
      <xdr:rowOff>9525</xdr:rowOff>
    </xdr:from>
    <xdr:ext cx="4552950" cy="2686050"/>
    <xdr:graphicFrame macro="">
      <xdr:nvGraphicFramePr>
        <xdr:cNvPr id="1725345464" name="Chart 6">
          <a:extLst>
            <a:ext uri="{FF2B5EF4-FFF2-40B4-BE49-F238E27FC236}">
              <a16:creationId xmlns:a16="http://schemas.microsoft.com/office/drawing/2014/main" id="{00000000-0008-0000-0200-0000B8AED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7</xdr:col>
      <xdr:colOff>9525</xdr:colOff>
      <xdr:row>81</xdr:row>
      <xdr:rowOff>9525</xdr:rowOff>
    </xdr:from>
    <xdr:ext cx="4524375" cy="2686050"/>
    <xdr:graphicFrame macro="">
      <xdr:nvGraphicFramePr>
        <xdr:cNvPr id="1074817836" name="Chart 7">
          <a:extLst>
            <a:ext uri="{FF2B5EF4-FFF2-40B4-BE49-F238E27FC236}">
              <a16:creationId xmlns:a16="http://schemas.microsoft.com/office/drawing/2014/main" id="{00000000-0008-0000-0200-00002C6B1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9525</xdr:colOff>
      <xdr:row>101</xdr:row>
      <xdr:rowOff>9525</xdr:rowOff>
    </xdr:from>
    <xdr:ext cx="4552950" cy="2686050"/>
    <xdr:graphicFrame macro="">
      <xdr:nvGraphicFramePr>
        <xdr:cNvPr id="1581739073" name="Chart 8">
          <a:extLst>
            <a:ext uri="{FF2B5EF4-FFF2-40B4-BE49-F238E27FC236}">
              <a16:creationId xmlns:a16="http://schemas.microsoft.com/office/drawing/2014/main" id="{00000000-0008-0000-0200-0000416C4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7</xdr:col>
      <xdr:colOff>9525</xdr:colOff>
      <xdr:row>101</xdr:row>
      <xdr:rowOff>9525</xdr:rowOff>
    </xdr:from>
    <xdr:ext cx="4524375" cy="2686050"/>
    <xdr:graphicFrame macro="">
      <xdr:nvGraphicFramePr>
        <xdr:cNvPr id="1051743492" name="Chart 9">
          <a:extLst>
            <a:ext uri="{FF2B5EF4-FFF2-40B4-BE49-F238E27FC236}">
              <a16:creationId xmlns:a16="http://schemas.microsoft.com/office/drawing/2014/main" id="{00000000-0008-0000-0200-00000455B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</xdr:col>
      <xdr:colOff>38100</xdr:colOff>
      <xdr:row>123</xdr:row>
      <xdr:rowOff>0</xdr:rowOff>
    </xdr:from>
    <xdr:ext cx="9096375" cy="4476750"/>
    <xdr:graphicFrame macro="">
      <xdr:nvGraphicFramePr>
        <xdr:cNvPr id="1619579445" name="Chart 10">
          <a:extLst>
            <a:ext uri="{FF2B5EF4-FFF2-40B4-BE49-F238E27FC236}">
              <a16:creationId xmlns:a16="http://schemas.microsoft.com/office/drawing/2014/main" id="{00000000-0008-0000-0200-000035D28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enlo Regular"/>
        <a:ea typeface="Menlo Regular"/>
        <a:cs typeface="Menlo Regular"/>
      </a:majorFont>
      <a:minorFont>
        <a:latin typeface="Menlo Regular"/>
        <a:ea typeface="Menlo Regular"/>
        <a:cs typeface="Menlo Regula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apps1.eere.energy.gov/st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Z1000"/>
  <sheetViews>
    <sheetView workbookViewId="0">
      <selection activeCell="D22" sqref="D22"/>
    </sheetView>
  </sheetViews>
  <sheetFormatPr defaultColWidth="14.453125" defaultRowHeight="15" customHeight="1"/>
  <cols>
    <col min="1" max="1" width="3.81640625" customWidth="1"/>
    <col min="2" max="2" width="15.26953125" customWidth="1"/>
    <col min="3" max="3" width="38.81640625" customWidth="1"/>
    <col min="4" max="4" width="14.7265625" customWidth="1"/>
    <col min="5" max="5" width="17.81640625" customWidth="1"/>
    <col min="6" max="6" width="14.54296875" customWidth="1"/>
    <col min="7" max="7" width="14.81640625" customWidth="1"/>
    <col min="8" max="8" width="20.08984375" customWidth="1"/>
    <col min="9" max="9" width="13.26953125" hidden="1" customWidth="1"/>
    <col min="10" max="10" width="10.81640625" hidden="1" customWidth="1"/>
    <col min="11" max="11" width="10.7265625" hidden="1" customWidth="1"/>
    <col min="12" max="26" width="10.81640625" customWidth="1"/>
  </cols>
  <sheetData>
    <row r="1" spans="1:26" ht="12" customHeight="1">
      <c r="A1" s="1"/>
      <c r="B1" s="1"/>
      <c r="C1" s="1"/>
      <c r="D1" s="2"/>
      <c r="E1" s="2"/>
      <c r="F1" s="2"/>
      <c r="G1" s="2"/>
      <c r="H1" s="2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4" t="s">
        <v>0</v>
      </c>
      <c r="C2" s="5"/>
      <c r="D2" s="6"/>
      <c r="E2" s="7"/>
      <c r="F2" s="8"/>
      <c r="G2" s="8"/>
      <c r="H2" s="8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9" t="s">
        <v>1</v>
      </c>
      <c r="C3" s="5"/>
      <c r="D3" s="6"/>
      <c r="E3" s="7"/>
      <c r="F3" s="8"/>
      <c r="G3" s="8"/>
      <c r="H3" s="8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10"/>
      <c r="C4" s="1"/>
      <c r="D4" s="2"/>
      <c r="E4" s="2"/>
      <c r="F4" s="2"/>
      <c r="G4" s="2"/>
      <c r="H4" s="2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11" t="s">
        <v>2</v>
      </c>
      <c r="C5" s="12" t="s">
        <v>262</v>
      </c>
      <c r="D5" s="2"/>
      <c r="E5" s="2"/>
      <c r="F5" s="2"/>
      <c r="G5" s="2"/>
      <c r="H5" s="2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1"/>
      <c r="C6" s="1"/>
      <c r="D6" s="2"/>
      <c r="E6" s="2"/>
      <c r="F6" s="2"/>
      <c r="G6" s="2"/>
      <c r="H6" s="2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1"/>
      <c r="C7" s="1"/>
      <c r="D7" s="158" t="s">
        <v>4</v>
      </c>
      <c r="E7" s="151"/>
      <c r="F7" s="151"/>
      <c r="G7" s="151"/>
      <c r="H7" s="151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1"/>
      <c r="C8" s="1"/>
      <c r="D8" s="13"/>
      <c r="E8" s="13"/>
      <c r="F8" s="13"/>
      <c r="G8" s="13"/>
      <c r="H8" s="1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1"/>
      <c r="B9" s="10"/>
      <c r="C9" s="1"/>
      <c r="D9" s="8"/>
      <c r="E9" s="14" t="s">
        <v>5</v>
      </c>
      <c r="F9" s="14" t="s">
        <v>6</v>
      </c>
      <c r="G9" s="14" t="s">
        <v>7</v>
      </c>
      <c r="H9" s="14" t="s">
        <v>8</v>
      </c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0"/>
      <c r="C10" s="1"/>
      <c r="D10" s="14" t="s">
        <v>9</v>
      </c>
      <c r="E10" s="15">
        <f>6.38*10^6*VLOOKUP($C$5,'LCA Data'!B115:K121,10,FALSE)</f>
        <v>7396873.8461538451</v>
      </c>
      <c r="F10" s="15">
        <f>1.51*10^8*VLOOKUP(C5,'LCA Data'!B115:M121,12,FALSE)</f>
        <v>155969076.64015052</v>
      </c>
      <c r="G10" s="15">
        <f>VLOOKUP($C$5,'LCA Data'!B115:L121,11,FALSE)</f>
        <v>271387397.26027399</v>
      </c>
      <c r="H10" s="16" t="s">
        <v>10</v>
      </c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1"/>
      <c r="B11" s="10"/>
      <c r="C11" s="1"/>
      <c r="D11" s="17" t="s">
        <v>11</v>
      </c>
      <c r="E11" s="18">
        <f>SUMIF($J$18:$J$58,"&gt;0",E18:E58)</f>
        <v>1946786.1225554205</v>
      </c>
      <c r="F11" s="18">
        <f>SUMIF($J$18:$J$58,"&gt;0",F18:F58)</f>
        <v>24872763.290912386</v>
      </c>
      <c r="G11" s="18">
        <f>SUMIF($J$18:$J$58,"&gt;0",G18:G58)</f>
        <v>19559007.017727826</v>
      </c>
      <c r="H11" s="19">
        <f>SUMIF($J$18:$J$58,"&gt;0",H18:H58)</f>
        <v>5.1083285439024795E-2</v>
      </c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1"/>
      <c r="B12" s="10"/>
      <c r="C12" s="1"/>
      <c r="D12" s="17" t="s">
        <v>12</v>
      </c>
      <c r="E12" s="20">
        <f>E11/E10</f>
        <v>0.26319039137968964</v>
      </c>
      <c r="F12" s="20">
        <f>F11/F10</f>
        <v>0.15947240200888313</v>
      </c>
      <c r="G12" s="20">
        <f>G11/G10</f>
        <v>7.207043221306908E-2</v>
      </c>
      <c r="H12" s="21" t="s">
        <v>13</v>
      </c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1"/>
      <c r="B13" s="10"/>
      <c r="C13" s="1"/>
      <c r="D13" s="22" t="s">
        <v>14</v>
      </c>
      <c r="E13" s="23">
        <f>'Use Phase'!F13</f>
        <v>45414.053999999996</v>
      </c>
      <c r="F13" s="23">
        <f>'Use Phase'!G13</f>
        <v>506239.08431040001</v>
      </c>
      <c r="G13" s="23">
        <f>'Use Phase'!H13</f>
        <v>145234734.79500002</v>
      </c>
      <c r="H13" s="24">
        <f>'Use Phase'!I13</f>
        <v>2.3208444E-3</v>
      </c>
      <c r="I13" s="3"/>
      <c r="J13" s="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1"/>
      <c r="B14" s="10"/>
      <c r="C14" s="1"/>
      <c r="D14" s="22" t="s">
        <v>12</v>
      </c>
      <c r="E14" s="25">
        <f>E13/E10</f>
        <v>6.1396280299702496E-3</v>
      </c>
      <c r="F14" s="25">
        <f>F13/F10</f>
        <v>3.2457657326419079E-3</v>
      </c>
      <c r="G14" s="25">
        <f>G13/G10</f>
        <v>0.53515651891422467</v>
      </c>
      <c r="H14" s="26" t="s">
        <v>13</v>
      </c>
      <c r="I14" s="3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1"/>
      <c r="B15" s="10"/>
      <c r="C15" s="1"/>
      <c r="D15" s="27" t="s">
        <v>15</v>
      </c>
      <c r="E15" s="28">
        <f>E14+E12</f>
        <v>0.26933001940965989</v>
      </c>
      <c r="F15" s="28">
        <f>F14+F12</f>
        <v>0.16271816774152503</v>
      </c>
      <c r="G15" s="28">
        <f>G14+G12</f>
        <v>0.60722695112729375</v>
      </c>
      <c r="H15" s="29" t="s">
        <v>13</v>
      </c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1"/>
      <c r="C16" s="1"/>
      <c r="D16" s="2"/>
      <c r="E16" s="2"/>
      <c r="F16" s="2"/>
      <c r="G16" s="2"/>
      <c r="H16" s="2"/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1"/>
      <c r="B17" s="30" t="s">
        <v>16</v>
      </c>
      <c r="C17" s="30" t="s">
        <v>17</v>
      </c>
      <c r="D17" s="30" t="s">
        <v>18</v>
      </c>
      <c r="E17" s="30" t="s">
        <v>5</v>
      </c>
      <c r="F17" s="30" t="s">
        <v>6</v>
      </c>
      <c r="G17" s="30" t="s">
        <v>7</v>
      </c>
      <c r="H17" s="30" t="s">
        <v>8</v>
      </c>
      <c r="I17" s="31" t="s">
        <v>19</v>
      </c>
      <c r="J17" s="31" t="s">
        <v>20</v>
      </c>
      <c r="K17" s="31" t="s">
        <v>21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1"/>
      <c r="B18" s="32" t="s">
        <v>181</v>
      </c>
      <c r="C18" s="32" t="s">
        <v>182</v>
      </c>
      <c r="D18" s="33">
        <v>5400</v>
      </c>
      <c r="E18" s="34">
        <f>IF(D18=0,"",D18*VLOOKUP(C18,'LCA Data'!$C$8:$G$107,2,FALSE)*K18)</f>
        <v>56509.23131220082</v>
      </c>
      <c r="F18" s="34">
        <f>IF(D18=0,"",D18*VLOOKUP(C18,'LCA Data'!$C$8:$G$107,3,FALSE)*K18)</f>
        <v>678300.66175604484</v>
      </c>
      <c r="G18" s="34">
        <f>IF(D18=0,"",D18*VLOOKUP(C18,'LCA Data'!$C$8:$G$107,4,FALSE)*K18)</f>
        <v>325649.54904196988</v>
      </c>
      <c r="H18" s="35">
        <f>IF(D18=0,"",D18*VLOOKUP(C18,'LCA Data'!$C$8:$G$107,5,FALSE)*K18)</f>
        <v>4.4919401429924259E-3</v>
      </c>
      <c r="I18" s="3" t="str">
        <f t="shared" ref="I18:I58" si="0">IF(B18="Foundation","Lists!B1:B7",IF(B18="Interior Wall","Lists!C1:C6",IF(B18="Exterior Wall","Lists!D1:D11",IF(B18="Floor","Lists!E1:E11",IF(B18="Roof","Lists!F1:F8",IF(B18="Window","Lists!G1:G7",IF(B18="Columns","Lists!H1:H5",IF(B18="Beams","Lists!I1:I5",IF(B18="MEP","Lists!J1:J19",IF(B18="Energy","Lists!K1:K11",IF(B18="Misc","Lists!L1:L9","Lists!M1")))))))))))</f>
        <v>Lists!G1:G7</v>
      </c>
      <c r="J18" s="3">
        <f t="shared" ref="J18:J58" si="1">IF(ISNA(E18),0,1)</f>
        <v>1</v>
      </c>
      <c r="K18" s="3">
        <f>IF(D18=0,"",VLOOKUP(C18,'LCA Data'!$C$8:$T$107,18,FALSE))</f>
        <v>2</v>
      </c>
      <c r="L18" s="3"/>
      <c r="M18" s="1"/>
      <c r="N18" s="1"/>
      <c r="O18" s="1"/>
      <c r="P18" s="1"/>
      <c r="Q18" s="1"/>
      <c r="R18" s="1"/>
      <c r="S18" s="1" t="s">
        <v>24</v>
      </c>
      <c r="T18" s="1"/>
      <c r="U18" s="1"/>
      <c r="V18" s="1"/>
      <c r="W18" s="1"/>
      <c r="X18" s="1"/>
      <c r="Y18" s="1"/>
      <c r="Z18" s="1"/>
    </row>
    <row r="19" spans="1:26" ht="18" customHeight="1">
      <c r="A19" s="1"/>
      <c r="B19" s="32" t="s">
        <v>140</v>
      </c>
      <c r="C19" s="32" t="s">
        <v>141</v>
      </c>
      <c r="D19" s="33">
        <v>10400</v>
      </c>
      <c r="E19" s="34">
        <f>IF(D19=0,"",D19*VLOOKUP(C19,'LCA Data'!$C$8:$G$107,2,FALSE)*K19)</f>
        <v>144127.67199999999</v>
      </c>
      <c r="F19" s="34">
        <f>IF(D19=0,"",D19*VLOOKUP(C19,'LCA Data'!$C$8:$G$107,3,FALSE)*K19)</f>
        <v>1970012.8603584</v>
      </c>
      <c r="G19" s="34">
        <f>IF(D19=0,"",D19*VLOOKUP(C19,'LCA Data'!$C$8:$G$107,4,FALSE)*K19)</f>
        <v>1996923.212811904</v>
      </c>
      <c r="H19" s="35">
        <f>IF(D19=0,"",D19*VLOOKUP(C19,'LCA Data'!$C$8:$G$107,5,FALSE)*K19)</f>
        <v>2.3074167999999999E-3</v>
      </c>
      <c r="I19" s="3" t="str">
        <f t="shared" si="0"/>
        <v>Lists!C1:C6</v>
      </c>
      <c r="J19" s="3">
        <f t="shared" si="1"/>
        <v>1</v>
      </c>
      <c r="K19" s="3">
        <f>IF(D19=0,"",VLOOKUP(C19,'LCA Data'!$C$8:$T$107,18,FALSE))</f>
        <v>1</v>
      </c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1"/>
      <c r="B20" s="32" t="s">
        <v>140</v>
      </c>
      <c r="C20" s="36" t="s">
        <v>144</v>
      </c>
      <c r="D20" s="33">
        <v>30500</v>
      </c>
      <c r="E20" s="34">
        <f>IF(D20=0,"",D20*VLOOKUP(C20,'LCA Data'!$C$8:$G$107,2,FALSE)*K20)</f>
        <v>448866.89105077391</v>
      </c>
      <c r="F20" s="34">
        <f>IF(D20=0,"",D20*VLOOKUP(C20,'LCA Data'!$C$8:$G$107,3,FALSE)*K20)</f>
        <v>6514187.7332306486</v>
      </c>
      <c r="G20" s="34">
        <f>IF(D20=0,"",D20*VLOOKUP(C20,'LCA Data'!$C$8:$G$107,4,FALSE)*K20)</f>
        <v>626882.51298654499</v>
      </c>
      <c r="H20" s="35">
        <f>IF(D20=0,"",D20*VLOOKUP(C20,'LCA Data'!$C$8:$G$107,5,FALSE)*K20)</f>
        <v>1.2657471455120197E-2</v>
      </c>
      <c r="I20" s="3" t="str">
        <f t="shared" si="0"/>
        <v>Lists!C1:C6</v>
      </c>
      <c r="J20" s="3">
        <f t="shared" si="1"/>
        <v>1</v>
      </c>
      <c r="K20" s="3">
        <f>IF(D20=0,"",VLOOKUP(C20,'LCA Data'!$C$8:$T$107,18,FALSE))</f>
        <v>1</v>
      </c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1"/>
      <c r="B21" s="32" t="s">
        <v>140</v>
      </c>
      <c r="C21" s="36" t="s">
        <v>144</v>
      </c>
      <c r="D21" s="33">
        <v>5000</v>
      </c>
      <c r="E21" s="34">
        <f>IF(D21=0,"",D21*VLOOKUP(C21,'LCA Data'!$C$8:$G$107,2,FALSE)*K21)</f>
        <v>73584.736237831792</v>
      </c>
      <c r="F21" s="34">
        <f>IF(D21=0,"",D21*VLOOKUP(C21,'LCA Data'!$C$8:$G$107,3,FALSE)*K21)</f>
        <v>1067899.6283984669</v>
      </c>
      <c r="G21" s="34">
        <f>IF(D21=0,"",D21*VLOOKUP(C21,'LCA Data'!$C$8:$G$107,4,FALSE)*K21)</f>
        <v>102767.62507976148</v>
      </c>
      <c r="H21" s="35">
        <f>IF(D21=0,"",D21*VLOOKUP(C21,'LCA Data'!$C$8:$G$107,5,FALSE)*K21)</f>
        <v>2.0749953205115076E-3</v>
      </c>
      <c r="I21" s="3" t="str">
        <f t="shared" si="0"/>
        <v>Lists!C1:C6</v>
      </c>
      <c r="J21" s="3">
        <f t="shared" si="1"/>
        <v>1</v>
      </c>
      <c r="K21" s="3">
        <f>IF(D21=0,"",VLOOKUP(C21,'LCA Data'!$C$8:$T$107,18,FALSE))</f>
        <v>1</v>
      </c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1"/>
      <c r="B22" s="32" t="s">
        <v>159</v>
      </c>
      <c r="C22" s="36" t="s">
        <v>161</v>
      </c>
      <c r="D22" s="33">
        <v>28504</v>
      </c>
      <c r="E22" s="34">
        <f>IF(D22=0,"",D22*VLOOKUP(C22,'LCA Data'!$C$8:$G$107,2,FALSE)*K22)</f>
        <v>338629.97134400002</v>
      </c>
      <c r="F22" s="34">
        <f>IF(D22=0,"",D22*VLOOKUP(C22,'LCA Data'!$C$8:$G$107,3,FALSE)*K22)</f>
        <v>3018628.4426081283</v>
      </c>
      <c r="G22" s="34">
        <f>IF(D22=0,"",D22*VLOOKUP(C22,'LCA Data'!$C$8:$G$107,4,FALSE)*K22)</f>
        <v>4282286.1685810583</v>
      </c>
      <c r="H22" s="35">
        <f>IF(D22=0,"",D22*VLOOKUP(C22,'LCA Data'!$C$8:$G$107,5,FALSE)*K22)</f>
        <v>8.5892137895199998E-3</v>
      </c>
      <c r="I22" s="3" t="str">
        <f t="shared" si="0"/>
        <v>Lists!E1:E11</v>
      </c>
      <c r="J22" s="3">
        <f t="shared" si="1"/>
        <v>1</v>
      </c>
      <c r="K22" s="3">
        <f>IF(D22=0,"",VLOOKUP(C22,'LCA Data'!$C$8:$T$107,18,FALSE))</f>
        <v>1</v>
      </c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1"/>
      <c r="B23" s="32" t="s">
        <v>129</v>
      </c>
      <c r="C23" s="36" t="s">
        <v>136</v>
      </c>
      <c r="D23" s="33">
        <v>324</v>
      </c>
      <c r="E23" s="34">
        <f>IF(D23=0,"",D23*VLOOKUP(C23,'LCA Data'!$C$8:$G$107,2,FALSE)*K23)</f>
        <v>28858.216680000012</v>
      </c>
      <c r="F23" s="34">
        <f>IF(D23=0,"",D23*VLOOKUP(C23,'LCA Data'!$C$8:$G$107,3,FALSE)*K23)</f>
        <v>470939.41151279985</v>
      </c>
      <c r="G23" s="34">
        <f>IF(D23=0,"",D23*VLOOKUP(C23,'LCA Data'!$C$8:$G$107,4,FALSE)*K23)</f>
        <v>1032681.7212768001</v>
      </c>
      <c r="H23" s="35">
        <f>IF(D23=0,"",D23*VLOOKUP(C23,'LCA Data'!$C$8:$G$107,5,FALSE)*K23)</f>
        <v>2.0212206469200004E-3</v>
      </c>
      <c r="I23" s="3" t="str">
        <f t="shared" si="0"/>
        <v>Lists!B1:B7</v>
      </c>
      <c r="J23" s="3">
        <f t="shared" si="1"/>
        <v>1</v>
      </c>
      <c r="K23" s="3">
        <f>IF(D23=0,"",VLOOKUP(C23,'LCA Data'!$C$8:$T$107,18,FALSE))</f>
        <v>1</v>
      </c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"/>
      <c r="B24" s="32" t="s">
        <v>159</v>
      </c>
      <c r="C24" s="36" t="s">
        <v>160</v>
      </c>
      <c r="D24" s="33">
        <v>28500</v>
      </c>
      <c r="E24" s="34">
        <f>IF(D24=0,"",D24*VLOOKUP(C24,'LCA Data'!$C$8:$G$107,2,FALSE)*K24)</f>
        <v>226218.351</v>
      </c>
      <c r="F24" s="34">
        <f>IF(D24=0,"",D24*VLOOKUP(C24,'LCA Data'!$C$8:$G$107,3,FALSE)*K24)</f>
        <v>3106659.5678520002</v>
      </c>
      <c r="G24" s="34">
        <f>IF(D24=0,"",D24*VLOOKUP(C24,'LCA Data'!$C$8:$G$107,4,FALSE)*K24)</f>
        <v>2407339.9803031203</v>
      </c>
      <c r="H24" s="35">
        <f>IF(D24=0,"",D24*VLOOKUP(C24,'LCA Data'!$C$8:$G$107,5,FALSE)*K24)</f>
        <v>6.4024395000000008E-4</v>
      </c>
      <c r="I24" s="3" t="str">
        <f t="shared" si="0"/>
        <v>Lists!E1:E11</v>
      </c>
      <c r="J24" s="3">
        <f t="shared" si="1"/>
        <v>1</v>
      </c>
      <c r="K24" s="3">
        <f>IF(D24=0,"",VLOOKUP(C24,'LCA Data'!$C$8:$T$107,18,FALSE))</f>
        <v>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"/>
      <c r="B25" s="32" t="s">
        <v>25</v>
      </c>
      <c r="C25" s="36" t="s">
        <v>23</v>
      </c>
      <c r="D25" s="33"/>
      <c r="E25" s="34" t="str">
        <f>IF(D25=0,"",D25*VLOOKUP(C25,'LCA Data'!$C$8:$G$107,2,FALSE)*K25)</f>
        <v/>
      </c>
      <c r="F25" s="34" t="str">
        <f>IF(D25=0,"",D25*VLOOKUP(C25,'LCA Data'!$C$8:$G$107,3,FALSE)*K25)</f>
        <v/>
      </c>
      <c r="G25" s="34" t="str">
        <f>IF(D25=0,"",D25*VLOOKUP(C25,'LCA Data'!$C$8:$G$107,4,FALSE)*K25)</f>
        <v/>
      </c>
      <c r="H25" s="35" t="str">
        <f>IF(D25=0,"",D25*VLOOKUP(C25,'LCA Data'!$C$8:$G$107,5,FALSE)*K25)</f>
        <v/>
      </c>
      <c r="I25" s="3" t="str">
        <f t="shared" si="0"/>
        <v>Lists!M1</v>
      </c>
      <c r="J25" s="3">
        <f t="shared" si="1"/>
        <v>1</v>
      </c>
      <c r="K25" s="3" t="str">
        <f>IF(D25=0,"",VLOOKUP(C25,'LCA Data'!$C$8:$T$107,18,FALSE))</f>
        <v/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1"/>
      <c r="B26" s="32" t="s">
        <v>129</v>
      </c>
      <c r="C26" s="36" t="s">
        <v>130</v>
      </c>
      <c r="D26" s="33"/>
      <c r="E26" s="34" t="str">
        <f>IF(D26=0,"",D26*VLOOKUP(C26,'LCA Data'!$C$8:$G$107,2,FALSE)*K26)</f>
        <v/>
      </c>
      <c r="F26" s="34" t="str">
        <f>IF(D26=0,"",D26*VLOOKUP(C26,'LCA Data'!$C$8:$G$107,3,FALSE)*K26)</f>
        <v/>
      </c>
      <c r="G26" s="34" t="str">
        <f>IF(D26=0,"",D26*VLOOKUP(C26,'LCA Data'!$C$8:$G$107,4,FALSE)*K26)</f>
        <v/>
      </c>
      <c r="H26" s="35" t="str">
        <f>IF(D26=0,"",D26*VLOOKUP(C26,'LCA Data'!$C$8:$G$107,5,FALSE)*K26)</f>
        <v/>
      </c>
      <c r="I26" s="3" t="str">
        <f t="shared" si="0"/>
        <v>Lists!B1:B7</v>
      </c>
      <c r="J26" s="3">
        <f t="shared" si="1"/>
        <v>1</v>
      </c>
      <c r="K26" s="3" t="str">
        <f>IF(D26=0,"",VLOOKUP(C26,'LCA Data'!$C$8:$T$107,18,FALSE))</f>
        <v/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1"/>
      <c r="B27" s="32" t="s">
        <v>315</v>
      </c>
      <c r="C27" s="36" t="s">
        <v>196</v>
      </c>
      <c r="D27" s="33">
        <v>60985</v>
      </c>
      <c r="E27" s="34">
        <f>IF(D27=0,"",D27*VLOOKUP(C27,'LCA Data'!$C$8:$G$107,2,FALSE)*K27)</f>
        <v>67748.236499999999</v>
      </c>
      <c r="F27" s="34">
        <f>IF(D27=0,"",D27*VLOOKUP(C27,'LCA Data'!$C$8:$G$107,3,FALSE)*K27)</f>
        <v>898090.44560840004</v>
      </c>
      <c r="G27" s="34">
        <f>IF(D27=0,"",D27*VLOOKUP(C27,'LCA Data'!$C$8:$G$107,4,FALSE)*K27)</f>
        <v>608063.67070374405</v>
      </c>
      <c r="H27" s="35">
        <f>IF(D27=0,"",D27*VLOOKUP(C27,'LCA Data'!$C$8:$G$107,5,FALSE)*K27)</f>
        <v>2.1795868242000001E-4</v>
      </c>
      <c r="I27" s="3" t="str">
        <f t="shared" si="0"/>
        <v>Lists!I1:I5</v>
      </c>
      <c r="J27" s="3">
        <f t="shared" si="1"/>
        <v>1</v>
      </c>
      <c r="K27" s="3">
        <f>IF(D27=0,"",VLOOKUP(C27,'LCA Data'!$C$8:$T$107,18,FALSE))</f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1"/>
      <c r="B28" s="32" t="s">
        <v>147</v>
      </c>
      <c r="C28" s="36" t="s">
        <v>153</v>
      </c>
      <c r="D28" s="33">
        <v>10400</v>
      </c>
      <c r="E28" s="34">
        <f>IF(D28=0,"",D28*VLOOKUP(C28,'LCA Data'!$C$8:$G$107,2,FALSE)*K28)</f>
        <v>221386.45928880002</v>
      </c>
      <c r="F28" s="34">
        <f>IF(D28=0,"",D28*VLOOKUP(C28,'LCA Data'!$C$8:$G$107,3,FALSE)*K28)</f>
        <v>2652083.1945920005</v>
      </c>
      <c r="G28" s="34">
        <f>IF(D28=0,"",D28*VLOOKUP(C28,'LCA Data'!$C$8:$G$107,4,FALSE)*K28)</f>
        <v>2852070.6030960004</v>
      </c>
      <c r="H28" s="35">
        <f>IF(D28=0,"",D28*VLOOKUP(C28,'LCA Data'!$C$8:$G$107,5,FALSE)*K28)</f>
        <v>5.8383311999999996E-3</v>
      </c>
      <c r="I28" s="3" t="str">
        <f t="shared" si="0"/>
        <v>Lists!D1:D11</v>
      </c>
      <c r="J28" s="3">
        <f t="shared" si="1"/>
        <v>1</v>
      </c>
      <c r="K28" s="3">
        <f>IF(D28=0,"",VLOOKUP(C28,'LCA Data'!$C$8:$T$107,18,FALSE))</f>
        <v>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"/>
      <c r="B29" s="32" t="s">
        <v>313</v>
      </c>
      <c r="C29" s="36" t="s">
        <v>192</v>
      </c>
      <c r="D29" s="33">
        <v>8000</v>
      </c>
      <c r="E29" s="34">
        <f>IF(D29=0,"",D29*VLOOKUP(C29,'LCA Data'!$C$8:$G$107,2,FALSE)*K29)</f>
        <v>5950.7120000000004</v>
      </c>
      <c r="F29" s="34">
        <f>IF(D29=0,"",D29*VLOOKUP(C29,'LCA Data'!$C$8:$G$107,3,FALSE)*K29)</f>
        <v>67016.628800000006</v>
      </c>
      <c r="G29" s="34">
        <f>IF(D29=0,"",D29*VLOOKUP(C29,'LCA Data'!$C$8:$G$107,4,FALSE)*K29)</f>
        <v>48450.805120000005</v>
      </c>
      <c r="H29" s="35">
        <f>IF(D29=0,"",D29*VLOOKUP(C29,'LCA Data'!$C$8:$G$107,5,FALSE)*K29)</f>
        <v>2.8483414720000002E-5</v>
      </c>
      <c r="I29" s="3" t="str">
        <f t="shared" si="0"/>
        <v>Lists!H1:H5</v>
      </c>
      <c r="J29" s="3">
        <f t="shared" si="1"/>
        <v>1</v>
      </c>
      <c r="K29" s="3">
        <f>IF(D29=0,"",VLOOKUP(C29,'LCA Data'!$C$8:$T$107,18,FALSE))</f>
        <v>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"/>
      <c r="B30" s="32" t="s">
        <v>25</v>
      </c>
      <c r="C30" s="36" t="s">
        <v>23</v>
      </c>
      <c r="D30" s="33"/>
      <c r="E30" s="34" t="str">
        <f>IF(D30=0,"",D30*VLOOKUP(C30,'LCA Data'!$C$8:$G$107,2,FALSE)*K30)</f>
        <v/>
      </c>
      <c r="F30" s="34" t="str">
        <f>IF(D30=0,"",D30*VLOOKUP(C30,'LCA Data'!$C$8:$G$107,3,FALSE)*K30)</f>
        <v/>
      </c>
      <c r="G30" s="34" t="str">
        <f>IF(D30=0,"",D30*VLOOKUP(C30,'LCA Data'!$C$8:$G$107,4,FALSE)*K30)</f>
        <v/>
      </c>
      <c r="H30" s="35" t="str">
        <f>IF(D30=0,"",D30*VLOOKUP(C30,'LCA Data'!$C$8:$G$107,5,FALSE)*K30)</f>
        <v/>
      </c>
      <c r="I30" s="3" t="str">
        <f t="shared" si="0"/>
        <v>Lists!M1</v>
      </c>
      <c r="J30" s="3">
        <f t="shared" si="1"/>
        <v>1</v>
      </c>
      <c r="K30" s="3" t="str">
        <f>IF(D30=0,"",VLOOKUP(C30,'LCA Data'!$C$8:$T$107,18,FALSE))</f>
        <v/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1"/>
      <c r="B31" s="32" t="s">
        <v>25</v>
      </c>
      <c r="C31" s="36" t="s">
        <v>23</v>
      </c>
      <c r="D31" s="33"/>
      <c r="E31" s="34" t="str">
        <f>IF(D31=0,"",D31*VLOOKUP(C31,'LCA Data'!$C$8:$G$107,2,FALSE)*K31)</f>
        <v/>
      </c>
      <c r="F31" s="34" t="str">
        <f>IF(D31=0,"",D31*VLOOKUP(C31,'LCA Data'!$C$8:$G$107,3,FALSE)*K31)</f>
        <v/>
      </c>
      <c r="G31" s="34" t="str">
        <f>IF(D31=0,"",D31*VLOOKUP(C31,'LCA Data'!$C$8:$G$107,4,FALSE)*K31)</f>
        <v/>
      </c>
      <c r="H31" s="35" t="str">
        <f>IF(D31=0,"",D31*VLOOKUP(C31,'LCA Data'!$C$8:$G$107,5,FALSE)*K31)</f>
        <v/>
      </c>
      <c r="I31" s="3" t="str">
        <f t="shared" si="0"/>
        <v>Lists!M1</v>
      </c>
      <c r="J31" s="3">
        <f t="shared" si="1"/>
        <v>1</v>
      </c>
      <c r="K31" s="3" t="str">
        <f>IF(D31=0,"",VLOOKUP(C31,'LCA Data'!$C$8:$T$107,18,FALSE))</f>
        <v/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1"/>
      <c r="B32" s="32" t="s">
        <v>25</v>
      </c>
      <c r="C32" s="36" t="s">
        <v>23</v>
      </c>
      <c r="D32" s="33"/>
      <c r="E32" s="34" t="str">
        <f>IF(D32=0,"",D32*VLOOKUP(C32,'LCA Data'!$C$8:$G$107,2,FALSE)*K32)</f>
        <v/>
      </c>
      <c r="F32" s="34" t="str">
        <f>IF(D32=0,"",D32*VLOOKUP(C32,'LCA Data'!$C$8:$G$107,3,FALSE)*K32)</f>
        <v/>
      </c>
      <c r="G32" s="34" t="str">
        <f>IF(D32=0,"",D32*VLOOKUP(C32,'LCA Data'!$C$8:$G$107,4,FALSE)*K32)</f>
        <v/>
      </c>
      <c r="H32" s="35" t="str">
        <f>IF(D32=0,"",D32*VLOOKUP(C32,'LCA Data'!$C$8:$G$107,5,FALSE)*K32)</f>
        <v/>
      </c>
      <c r="I32" s="3" t="str">
        <f t="shared" si="0"/>
        <v>Lists!M1</v>
      </c>
      <c r="J32" s="3">
        <f t="shared" si="1"/>
        <v>1</v>
      </c>
      <c r="K32" s="3" t="str">
        <f>IF(D32=0,"",VLOOKUP(C32,'LCA Data'!$C$8:$T$107,18,FALSE))</f>
        <v/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1"/>
      <c r="B33" s="32" t="s">
        <v>25</v>
      </c>
      <c r="C33" s="36" t="s">
        <v>23</v>
      </c>
      <c r="D33" s="33"/>
      <c r="E33" s="34" t="str">
        <f>IF(D33=0,"",D33*VLOOKUP(C33,'LCA Data'!$C$8:$G$107,2,FALSE)*K33)</f>
        <v/>
      </c>
      <c r="F33" s="34" t="str">
        <f>IF(D33=0,"",D33*VLOOKUP(C33,'LCA Data'!$C$8:$G$107,3,FALSE)*K33)</f>
        <v/>
      </c>
      <c r="G33" s="34" t="str">
        <f>IF(D33=0,"",D33*VLOOKUP(C33,'LCA Data'!$C$8:$G$107,4,FALSE)*K33)</f>
        <v/>
      </c>
      <c r="H33" s="35" t="str">
        <f>IF(D33=0,"",D33*VLOOKUP(C33,'LCA Data'!$C$8:$G$107,5,FALSE)*K33)</f>
        <v/>
      </c>
      <c r="I33" s="3" t="str">
        <f t="shared" si="0"/>
        <v>Lists!M1</v>
      </c>
      <c r="J33" s="3">
        <f t="shared" si="1"/>
        <v>1</v>
      </c>
      <c r="K33" s="3" t="str">
        <f>IF(D33=0,"",VLOOKUP(C33,'LCA Data'!$C$8:$T$107,18,FALSE))</f>
        <v/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1"/>
      <c r="B34" s="32" t="s">
        <v>22</v>
      </c>
      <c r="C34" s="36" t="s">
        <v>200</v>
      </c>
      <c r="D34" s="33">
        <v>3040</v>
      </c>
      <c r="E34" s="34">
        <f>IF(D34=0,"",D34*VLOOKUP(C34,'LCA Data'!$C$8:$G$107,2,FALSE)*K34)</f>
        <v>10342.992</v>
      </c>
      <c r="F34" s="34">
        <f>IF(D34=0,"",D34*VLOOKUP(C34,'LCA Data'!$C$8:$G$107,3,FALSE)*K34)</f>
        <v>82629.345023999995</v>
      </c>
      <c r="G34" s="34">
        <f>IF(D34=0,"",D34*VLOOKUP(C34,'LCA Data'!$C$8:$G$107,4,FALSE)*K34)</f>
        <v>58001.983999999997</v>
      </c>
      <c r="H34" s="35">
        <f>IF(D34=0,"",D34*VLOOKUP(C34,'LCA Data'!$C$8:$G$107,5,FALSE)*K34)</f>
        <v>1.07616E-5</v>
      </c>
      <c r="I34" s="3" t="str">
        <f t="shared" si="0"/>
        <v>Lists!J1:J19</v>
      </c>
      <c r="J34" s="3">
        <f t="shared" si="1"/>
        <v>1</v>
      </c>
      <c r="K34" s="3">
        <f>IF(D34=0,"",VLOOKUP(C34,'LCA Data'!$C$8:$T$107,18,FALSE))</f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1"/>
      <c r="B35" s="32" t="s">
        <v>22</v>
      </c>
      <c r="C35" s="36" t="s">
        <v>209</v>
      </c>
      <c r="D35" s="33">
        <v>1</v>
      </c>
      <c r="E35" s="34">
        <f>IF(D35=0,"",D35*VLOOKUP(C35,'LCA Data'!$C$8:$G$107,2,FALSE)*K35)</f>
        <v>8103.3378320965021</v>
      </c>
      <c r="F35" s="34">
        <f>IF(D35=0,"",D35*VLOOKUP(C35,'LCA Data'!$C$8:$G$107,3,FALSE)*K35)</f>
        <v>101649.01423121999</v>
      </c>
      <c r="G35" s="34">
        <f>IF(D35=0,"",D35*VLOOKUP(C35,'LCA Data'!$C$8:$G$107,4,FALSE)*K35)</f>
        <v>61990.938979517872</v>
      </c>
      <c r="H35" s="35">
        <f>IF(D35=0,"",D35*VLOOKUP(C35,'LCA Data'!$C$8:$G$107,5,FALSE)*K35)</f>
        <v>6.2989331901901972E-4</v>
      </c>
      <c r="I35" s="3" t="str">
        <f t="shared" si="0"/>
        <v>Lists!J1:J19</v>
      </c>
      <c r="J35" s="3">
        <f t="shared" si="1"/>
        <v>1</v>
      </c>
      <c r="K35" s="3">
        <f>IF(D35=0,"",VLOOKUP(C35,'LCA Data'!$C$8:$T$107,18,FALSE))</f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1"/>
      <c r="B36" s="32" t="s">
        <v>231</v>
      </c>
      <c r="C36" s="36" t="s">
        <v>242</v>
      </c>
      <c r="D36" s="33">
        <v>5000</v>
      </c>
      <c r="E36" s="34">
        <f>IF(D36=0,"",D36*VLOOKUP(C36,'LCA Data'!$C$8:$G$107,2,FALSE)*K36)</f>
        <v>206969</v>
      </c>
      <c r="F36" s="34">
        <f>IF(D36=0,"",D36*VLOOKUP(C36,'LCA Data'!$C$8:$G$107,3,FALSE)*K36)</f>
        <v>2678270.4879999999</v>
      </c>
      <c r="G36" s="34">
        <f>IF(D36=0,"",D36*VLOOKUP(C36,'LCA Data'!$C$8:$G$107,4,FALSE)*K36)</f>
        <v>3809140.5200000005</v>
      </c>
      <c r="H36" s="35">
        <f>IF(D36=0,"",D36*VLOOKUP(C36,'LCA Data'!$C$8:$G$107,5,FALSE)*K36)</f>
        <v>2.6665662755555549E-3</v>
      </c>
      <c r="I36" s="3" t="str">
        <f t="shared" si="0"/>
        <v>Lists!K1:K11</v>
      </c>
      <c r="J36" s="3">
        <f t="shared" si="1"/>
        <v>1</v>
      </c>
      <c r="K36" s="3">
        <f>IF(D36=0,"",VLOOKUP(C36,'LCA Data'!$C$8:$T$107,18,FALSE))</f>
        <v>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1"/>
      <c r="B37" s="32" t="s">
        <v>231</v>
      </c>
      <c r="C37" s="36" t="s">
        <v>238</v>
      </c>
      <c r="D37" s="33">
        <v>1200</v>
      </c>
      <c r="E37" s="34">
        <f>IF(D37=0,"",D37*VLOOKUP(C37,'LCA Data'!$C$8:$G$107,2,FALSE)*K37)</f>
        <v>104737.62240000002</v>
      </c>
      <c r="F37" s="34">
        <f>IF(D37=0,"",D37*VLOOKUP(C37,'LCA Data'!$C$8:$G$107,3,FALSE)*K37)</f>
        <v>1519035.3599999999</v>
      </c>
      <c r="G37" s="34">
        <f>IF(D37=0,"",D37*VLOOKUP(C37,'LCA Data'!$C$8:$G$107,4,FALSE)*K37)</f>
        <v>1301797.9077599999</v>
      </c>
      <c r="H37" s="35">
        <f>IF(D37=0,"",D37*VLOOKUP(C37,'LCA Data'!$C$8:$G$107,5,FALSE)*K37)</f>
        <v>8.6682479999999999E-3</v>
      </c>
      <c r="I37" s="3" t="str">
        <f t="shared" si="0"/>
        <v>Lists!K1:K11</v>
      </c>
      <c r="J37" s="3">
        <f t="shared" si="1"/>
        <v>1</v>
      </c>
      <c r="K37" s="3">
        <f>IF(D37=0,"",VLOOKUP(C37,'LCA Data'!$C$8:$T$107,18,FALSE))</f>
        <v>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1"/>
      <c r="B38" s="32" t="s">
        <v>231</v>
      </c>
      <c r="C38" s="36" t="s">
        <v>239</v>
      </c>
      <c r="D38" s="33">
        <v>100</v>
      </c>
      <c r="E38" s="34">
        <f>IF(D38=0,"",D38*VLOOKUP(C38,'LCA Data'!$C$8:$G$107,2,FALSE)*K38)</f>
        <v>776</v>
      </c>
      <c r="F38" s="34">
        <f>IF(D38=0,"",D38*VLOOKUP(C38,'LCA Data'!$C$8:$G$107,3,FALSE)*K38)</f>
        <v>18117.324000000001</v>
      </c>
      <c r="G38" s="34">
        <f>IF(D38=0,"",D38*VLOOKUP(C38,'LCA Data'!$C$8:$G$107,4,FALSE)*K38)</f>
        <v>2145.732</v>
      </c>
      <c r="H38" s="35">
        <f>IF(D38=0,"",D38*VLOOKUP(C38,'LCA Data'!$C$8:$G$107,5,FALSE)*K38)</f>
        <v>1.4228E-5</v>
      </c>
      <c r="I38" s="3" t="str">
        <f t="shared" si="0"/>
        <v>Lists!K1:K11</v>
      </c>
      <c r="J38" s="3">
        <f t="shared" si="1"/>
        <v>1</v>
      </c>
      <c r="K38" s="3">
        <f>IF(D38=0,"",VLOOKUP(C38,'LCA Data'!$C$8:$T$107,18,FALSE))</f>
        <v>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1"/>
      <c r="B39" s="32" t="s">
        <v>22</v>
      </c>
      <c r="C39" s="36" t="s">
        <v>218</v>
      </c>
      <c r="D39" s="33">
        <v>5000</v>
      </c>
      <c r="E39" s="34">
        <f>IF(D39=0,"",D39*VLOOKUP(C39,'LCA Data'!$C$8:$G$107,2,FALSE)*K39)</f>
        <v>3976.6929097173693</v>
      </c>
      <c r="F39" s="34">
        <f>IF(D39=0,"",D39*VLOOKUP(C39,'LCA Data'!$C$8:$G$107,3,FALSE)*K39)</f>
        <v>29243.18494027331</v>
      </c>
      <c r="G39" s="34">
        <f>IF(D39=0,"",D39*VLOOKUP(C39,'LCA Data'!$C$8:$G$107,4,FALSE)*K39)</f>
        <v>42814.085987398685</v>
      </c>
      <c r="H39" s="35">
        <f>IF(D39=0,"",D39*VLOOKUP(C39,'LCA Data'!$C$8:$G$107,5,FALSE)*K39)</f>
        <v>2.263128422461089E-4</v>
      </c>
      <c r="I39" s="3" t="str">
        <f t="shared" si="0"/>
        <v>Lists!J1:J19</v>
      </c>
      <c r="J39" s="3">
        <f t="shared" si="1"/>
        <v>1</v>
      </c>
      <c r="K39" s="3">
        <f>IF(D39=0,"",VLOOKUP(C39,'LCA Data'!$C$8:$T$107,18,FALSE))</f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1"/>
      <c r="B40" s="32" t="s">
        <v>25</v>
      </c>
      <c r="C40" s="36" t="s">
        <v>23</v>
      </c>
      <c r="D40" s="33"/>
      <c r="E40" s="34" t="str">
        <f>IF(D40=0,"",D40*VLOOKUP(C40,'LCA Data'!$C$8:$G$107,2,FALSE)*K40)</f>
        <v/>
      </c>
      <c r="F40" s="34" t="str">
        <f>IF(D40=0,"",D40*VLOOKUP(C40,'LCA Data'!$C$8:$G$107,3,FALSE)*K40)</f>
        <v/>
      </c>
      <c r="G40" s="34" t="str">
        <f>IF(D40=0,"",D40*VLOOKUP(C40,'LCA Data'!$C$8:$G$107,4,FALSE)*K40)</f>
        <v/>
      </c>
      <c r="H40" s="35" t="str">
        <f>IF(D40=0,"",D40*VLOOKUP(C40,'LCA Data'!$C$8:$G$107,5,FALSE)*K40)</f>
        <v/>
      </c>
      <c r="I40" s="3" t="str">
        <f t="shared" si="0"/>
        <v>Lists!M1</v>
      </c>
      <c r="J40" s="3">
        <f t="shared" si="1"/>
        <v>1</v>
      </c>
      <c r="K40" s="3" t="str">
        <f>IF(D40=0,"",VLOOKUP(C40,'LCA Data'!$C$8:$T$107,18,FALSE))</f>
        <v/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1"/>
      <c r="B41" s="32" t="s">
        <v>25</v>
      </c>
      <c r="C41" s="36" t="s">
        <v>23</v>
      </c>
      <c r="D41" s="33"/>
      <c r="E41" s="34" t="str">
        <f>IF(D41=0,"",D41*VLOOKUP(C41,'LCA Data'!$C$8:$G$107,2,FALSE)*K41)</f>
        <v/>
      </c>
      <c r="F41" s="34" t="str">
        <f>IF(D41=0,"",D41*VLOOKUP(C41,'LCA Data'!$C$8:$G$107,3,FALSE)*K41)</f>
        <v/>
      </c>
      <c r="G41" s="34" t="str">
        <f>IF(D41=0,"",D41*VLOOKUP(C41,'LCA Data'!$C$8:$G$107,4,FALSE)*K41)</f>
        <v/>
      </c>
      <c r="H41" s="35" t="str">
        <f>IF(D41=0,"",D41*VLOOKUP(C41,'LCA Data'!$C$8:$G$107,5,FALSE)*K41)</f>
        <v/>
      </c>
      <c r="I41" s="3" t="str">
        <f t="shared" si="0"/>
        <v>Lists!M1</v>
      </c>
      <c r="J41" s="3">
        <f t="shared" si="1"/>
        <v>1</v>
      </c>
      <c r="K41" s="3" t="str">
        <f>IF(D41=0,"",VLOOKUP(C41,'LCA Data'!$C$8:$T$107,18,FALSE))</f>
        <v/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1"/>
      <c r="B42" s="32" t="s">
        <v>25</v>
      </c>
      <c r="C42" s="36" t="s">
        <v>23</v>
      </c>
      <c r="D42" s="33"/>
      <c r="E42" s="34" t="str">
        <f>IF(D42=0,"",D42*VLOOKUP(C42,'LCA Data'!$C$8:$G$107,2,FALSE)*K42)</f>
        <v/>
      </c>
      <c r="F42" s="34" t="str">
        <f>IF(D42=0,"",D42*VLOOKUP(C42,'LCA Data'!$C$8:$G$107,3,FALSE)*K42)</f>
        <v/>
      </c>
      <c r="G42" s="34" t="str">
        <f>IF(D42=0,"",D42*VLOOKUP(C42,'LCA Data'!$C$8:$G$107,4,FALSE)*K42)</f>
        <v/>
      </c>
      <c r="H42" s="35" t="str">
        <f>IF(D42=0,"",D42*VLOOKUP(C42,'LCA Data'!$C$8:$G$107,5,FALSE)*K42)</f>
        <v/>
      </c>
      <c r="I42" s="3" t="str">
        <f t="shared" si="0"/>
        <v>Lists!M1</v>
      </c>
      <c r="J42" s="3">
        <f t="shared" si="1"/>
        <v>1</v>
      </c>
      <c r="K42" s="3" t="str">
        <f>IF(D42=0,"",VLOOKUP(C42,'LCA Data'!$C$8:$T$107,18,FALSE))</f>
        <v/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1"/>
      <c r="B43" s="32" t="s">
        <v>25</v>
      </c>
      <c r="C43" s="36" t="s">
        <v>23</v>
      </c>
      <c r="D43" s="33"/>
      <c r="E43" s="34" t="str">
        <f>IF(D43=0,"",D43*VLOOKUP(C43,'LCA Data'!$C$8:$G$107,2,FALSE)*K43)</f>
        <v/>
      </c>
      <c r="F43" s="34" t="str">
        <f>IF(D43=0,"",D43*VLOOKUP(C43,'LCA Data'!$C$8:$G$107,3,FALSE)*K43)</f>
        <v/>
      </c>
      <c r="G43" s="34" t="str">
        <f>IF(D43=0,"",D43*VLOOKUP(C43,'LCA Data'!$C$8:$G$107,4,FALSE)*K43)</f>
        <v/>
      </c>
      <c r="H43" s="35" t="str">
        <f>IF(D43=0,"",D43*VLOOKUP(C43,'LCA Data'!$C$8:$G$107,5,FALSE)*K43)</f>
        <v/>
      </c>
      <c r="I43" s="3" t="str">
        <f t="shared" si="0"/>
        <v>Lists!M1</v>
      </c>
      <c r="J43" s="3">
        <f t="shared" si="1"/>
        <v>1</v>
      </c>
      <c r="K43" s="3" t="str">
        <f>IF(D43=0,"",VLOOKUP(C43,'LCA Data'!$C$8:$T$107,18,FALSE))</f>
        <v/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1"/>
      <c r="B44" s="32" t="s">
        <v>25</v>
      </c>
      <c r="C44" s="36" t="s">
        <v>23</v>
      </c>
      <c r="D44" s="33"/>
      <c r="E44" s="34" t="str">
        <f>IF(D44=0,"",D44*VLOOKUP(C44,'LCA Data'!$C$8:$G$107,2,FALSE)*K44)</f>
        <v/>
      </c>
      <c r="F44" s="34" t="str">
        <f>IF(D44=0,"",D44*VLOOKUP(C44,'LCA Data'!$C$8:$G$107,3,FALSE)*K44)</f>
        <v/>
      </c>
      <c r="G44" s="34" t="str">
        <f>IF(D44=0,"",D44*VLOOKUP(C44,'LCA Data'!$C$8:$G$107,4,FALSE)*K44)</f>
        <v/>
      </c>
      <c r="H44" s="35" t="str">
        <f>IF(D44=0,"",D44*VLOOKUP(C44,'LCA Data'!$C$8:$G$107,5,FALSE)*K44)</f>
        <v/>
      </c>
      <c r="I44" s="3" t="str">
        <f t="shared" si="0"/>
        <v>Lists!M1</v>
      </c>
      <c r="J44" s="3">
        <f t="shared" si="1"/>
        <v>1</v>
      </c>
      <c r="K44" s="3" t="str">
        <f>IF(D44=0,"",VLOOKUP(C44,'LCA Data'!$C$8:$T$107,18,FALSE))</f>
        <v/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1"/>
      <c r="B45" s="32" t="s">
        <v>25</v>
      </c>
      <c r="C45" s="36" t="s">
        <v>23</v>
      </c>
      <c r="D45" s="33"/>
      <c r="E45" s="34" t="str">
        <f>IF(D45=0,"",D45*VLOOKUP(C45,'LCA Data'!$C$8:$G$107,2,FALSE)*K45)</f>
        <v/>
      </c>
      <c r="F45" s="34" t="str">
        <f>IF(D45=0,"",D45*VLOOKUP(C45,'LCA Data'!$C$8:$G$107,3,FALSE)*K45)</f>
        <v/>
      </c>
      <c r="G45" s="34" t="str">
        <f>IF(D45=0,"",D45*VLOOKUP(C45,'LCA Data'!$C$8:$G$107,4,FALSE)*K45)</f>
        <v/>
      </c>
      <c r="H45" s="35" t="str">
        <f>IF(D45=0,"",D45*VLOOKUP(C45,'LCA Data'!$C$8:$G$107,5,FALSE)*K45)</f>
        <v/>
      </c>
      <c r="I45" s="3" t="str">
        <f t="shared" si="0"/>
        <v>Lists!M1</v>
      </c>
      <c r="J45" s="3">
        <f t="shared" si="1"/>
        <v>1</v>
      </c>
      <c r="K45" s="3" t="str">
        <f>IF(D45=0,"",VLOOKUP(C45,'LCA Data'!$C$8:$T$107,18,FALSE))</f>
        <v/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1"/>
      <c r="B46" s="32" t="s">
        <v>25</v>
      </c>
      <c r="C46" s="36" t="s">
        <v>23</v>
      </c>
      <c r="D46" s="33"/>
      <c r="E46" s="34" t="str">
        <f>IF(D46=0,"",D46*VLOOKUP(C46,'LCA Data'!$C$8:$G$107,2,FALSE)*K46)</f>
        <v/>
      </c>
      <c r="F46" s="34" t="str">
        <f>IF(D46=0,"",D46*VLOOKUP(C46,'LCA Data'!$C$8:$G$107,3,FALSE)*K46)</f>
        <v/>
      </c>
      <c r="G46" s="34" t="str">
        <f>IF(D46=0,"",D46*VLOOKUP(C46,'LCA Data'!$C$8:$G$107,4,FALSE)*K46)</f>
        <v/>
      </c>
      <c r="H46" s="35" t="str">
        <f>IF(D46=0,"",D46*VLOOKUP(C46,'LCA Data'!$C$8:$G$107,5,FALSE)*K46)</f>
        <v/>
      </c>
      <c r="I46" s="3" t="str">
        <f t="shared" si="0"/>
        <v>Lists!M1</v>
      </c>
      <c r="J46" s="3">
        <f t="shared" si="1"/>
        <v>1</v>
      </c>
      <c r="K46" s="3" t="str">
        <f>IF(D46=0,"",VLOOKUP(C46,'LCA Data'!$C$8:$T$107,18,FALSE))</f>
        <v/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1"/>
      <c r="B47" s="32" t="s">
        <v>25</v>
      </c>
      <c r="C47" s="36" t="s">
        <v>23</v>
      </c>
      <c r="D47" s="33"/>
      <c r="E47" s="34" t="str">
        <f>IF(D47=0,"",D47*VLOOKUP(C47,'LCA Data'!$C$8:$G$107,2,FALSE)*K47)</f>
        <v/>
      </c>
      <c r="F47" s="34" t="str">
        <f>IF(D47=0,"",D47*VLOOKUP(C47,'LCA Data'!$C$8:$G$107,3,FALSE)*K47)</f>
        <v/>
      </c>
      <c r="G47" s="34" t="str">
        <f>IF(D47=0,"",D47*VLOOKUP(C47,'LCA Data'!$C$8:$G$107,4,FALSE)*K47)</f>
        <v/>
      </c>
      <c r="H47" s="35" t="str">
        <f>IF(D47=0,"",D47*VLOOKUP(C47,'LCA Data'!$C$8:$G$107,5,FALSE)*K47)</f>
        <v/>
      </c>
      <c r="I47" s="3" t="str">
        <f t="shared" si="0"/>
        <v>Lists!M1</v>
      </c>
      <c r="J47" s="3">
        <f t="shared" si="1"/>
        <v>1</v>
      </c>
      <c r="K47" s="3" t="str">
        <f>IF(D47=0,"",VLOOKUP(C47,'LCA Data'!$C$8:$T$107,18,FALSE))</f>
        <v/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1"/>
      <c r="B48" s="32" t="s">
        <v>25</v>
      </c>
      <c r="C48" s="36" t="s">
        <v>23</v>
      </c>
      <c r="D48" s="33"/>
      <c r="E48" s="34" t="str">
        <f>IF(D48=0,"",D48*VLOOKUP(C48,'LCA Data'!$C$8:$G$107,2,FALSE)*K48)</f>
        <v/>
      </c>
      <c r="F48" s="34" t="str">
        <f>IF(D48=0,"",D48*VLOOKUP(C48,'LCA Data'!$C$8:$G$107,3,FALSE)*K48)</f>
        <v/>
      </c>
      <c r="G48" s="34" t="str">
        <f>IF(D48=0,"",D48*VLOOKUP(C48,'LCA Data'!$C$8:$G$107,4,FALSE)*K48)</f>
        <v/>
      </c>
      <c r="H48" s="35" t="str">
        <f>IF(D48=0,"",D48*VLOOKUP(C48,'LCA Data'!$C$8:$G$107,5,FALSE)*K48)</f>
        <v/>
      </c>
      <c r="I48" s="3" t="str">
        <f t="shared" si="0"/>
        <v>Lists!M1</v>
      </c>
      <c r="J48" s="3">
        <f t="shared" si="1"/>
        <v>1</v>
      </c>
      <c r="K48" s="3" t="str">
        <f>IF(D48=0,"",VLOOKUP(C48,'LCA Data'!$C$8:$T$107,18,FALSE))</f>
        <v/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1"/>
      <c r="B49" s="32" t="s">
        <v>25</v>
      </c>
      <c r="C49" s="36" t="s">
        <v>23</v>
      </c>
      <c r="D49" s="33"/>
      <c r="E49" s="34" t="str">
        <f>IF(D49=0,"",D49*VLOOKUP(C49,'LCA Data'!$C$8:$G$107,2,FALSE)*K49)</f>
        <v/>
      </c>
      <c r="F49" s="34" t="str">
        <f>IF(D49=0,"",D49*VLOOKUP(C49,'LCA Data'!$C$8:$G$107,3,FALSE)*K49)</f>
        <v/>
      </c>
      <c r="G49" s="34" t="str">
        <f>IF(D49=0,"",D49*VLOOKUP(C49,'LCA Data'!$C$8:$G$107,4,FALSE)*K49)</f>
        <v/>
      </c>
      <c r="H49" s="35" t="str">
        <f>IF(D49=0,"",D49*VLOOKUP(C49,'LCA Data'!$C$8:$G$107,5,FALSE)*K49)</f>
        <v/>
      </c>
      <c r="I49" s="3" t="str">
        <f t="shared" si="0"/>
        <v>Lists!M1</v>
      </c>
      <c r="J49" s="3">
        <f t="shared" si="1"/>
        <v>1</v>
      </c>
      <c r="K49" s="3" t="str">
        <f>IF(D49=0,"",VLOOKUP(C49,'LCA Data'!$C$8:$T$107,18,FALSE))</f>
        <v/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1"/>
      <c r="B50" s="32" t="s">
        <v>25</v>
      </c>
      <c r="C50" s="36" t="s">
        <v>23</v>
      </c>
      <c r="D50" s="33"/>
      <c r="E50" s="34" t="str">
        <f>IF(D50=0,"",D50*VLOOKUP(C50,'LCA Data'!$C$8:$G$107,2,FALSE)*K50)</f>
        <v/>
      </c>
      <c r="F50" s="34" t="str">
        <f>IF(D50=0,"",D50*VLOOKUP(C50,'LCA Data'!$C$8:$G$107,3,FALSE)*K50)</f>
        <v/>
      </c>
      <c r="G50" s="34" t="str">
        <f>IF(D50=0,"",D50*VLOOKUP(C50,'LCA Data'!$C$8:$G$107,4,FALSE)*K50)</f>
        <v/>
      </c>
      <c r="H50" s="35" t="str">
        <f>IF(D50=0,"",D50*VLOOKUP(C50,'LCA Data'!$C$8:$G$107,5,FALSE)*K50)</f>
        <v/>
      </c>
      <c r="I50" s="3" t="str">
        <f t="shared" si="0"/>
        <v>Lists!M1</v>
      </c>
      <c r="J50" s="3">
        <f t="shared" si="1"/>
        <v>1</v>
      </c>
      <c r="K50" s="3" t="str">
        <f>IF(D50=0,"",VLOOKUP(C50,'LCA Data'!$C$8:$T$107,18,FALSE))</f>
        <v/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1"/>
      <c r="B51" s="32" t="s">
        <v>25</v>
      </c>
      <c r="C51" s="36" t="s">
        <v>23</v>
      </c>
      <c r="D51" s="33"/>
      <c r="E51" s="34" t="str">
        <f>IF(D51=0,"",D51*VLOOKUP(C51,'LCA Data'!$C$8:$G$107,2,FALSE)*K51)</f>
        <v/>
      </c>
      <c r="F51" s="34" t="str">
        <f>IF(D51=0,"",D51*VLOOKUP(C51,'LCA Data'!$C$8:$G$107,3,FALSE)*K51)</f>
        <v/>
      </c>
      <c r="G51" s="34" t="str">
        <f>IF(D51=0,"",D51*VLOOKUP(C51,'LCA Data'!$C$8:$G$107,4,FALSE)*K51)</f>
        <v/>
      </c>
      <c r="H51" s="35" t="str">
        <f>IF(D51=0,"",D51*VLOOKUP(C51,'LCA Data'!$C$8:$G$107,5,FALSE)*K51)</f>
        <v/>
      </c>
      <c r="I51" s="3" t="str">
        <f t="shared" si="0"/>
        <v>Lists!M1</v>
      </c>
      <c r="J51" s="3">
        <f t="shared" si="1"/>
        <v>1</v>
      </c>
      <c r="K51" s="3" t="str">
        <f>IF(D51=0,"",VLOOKUP(C51,'LCA Data'!$C$8:$T$107,18,FALSE))</f>
        <v/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1"/>
      <c r="B52" s="32" t="s">
        <v>25</v>
      </c>
      <c r="C52" s="36" t="s">
        <v>23</v>
      </c>
      <c r="D52" s="33"/>
      <c r="E52" s="34" t="str">
        <f>IF(D52=0,"",D52*VLOOKUP(C52,'LCA Data'!$C$8:$G$107,2,FALSE)*K52)</f>
        <v/>
      </c>
      <c r="F52" s="34" t="str">
        <f>IF(D52=0,"",D52*VLOOKUP(C52,'LCA Data'!$C$8:$G$107,3,FALSE)*K52)</f>
        <v/>
      </c>
      <c r="G52" s="34" t="str">
        <f>IF(D52=0,"",D52*VLOOKUP(C52,'LCA Data'!$C$8:$G$107,4,FALSE)*K52)</f>
        <v/>
      </c>
      <c r="H52" s="35" t="str">
        <f>IF(D52=0,"",D52*VLOOKUP(C52,'LCA Data'!$C$8:$G$107,5,FALSE)*K52)</f>
        <v/>
      </c>
      <c r="I52" s="3" t="str">
        <f t="shared" si="0"/>
        <v>Lists!M1</v>
      </c>
      <c r="J52" s="3">
        <f t="shared" si="1"/>
        <v>1</v>
      </c>
      <c r="K52" s="3" t="str">
        <f>IF(D52=0,"",VLOOKUP(C52,'LCA Data'!$C$8:$T$107,18,FALSE))</f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32" t="s">
        <v>25</v>
      </c>
      <c r="C53" s="36" t="s">
        <v>23</v>
      </c>
      <c r="D53" s="33"/>
      <c r="E53" s="34" t="str">
        <f>IF(D53=0,"",D53*VLOOKUP(C53,'LCA Data'!$C$8:$G$107,2,FALSE)*K53)</f>
        <v/>
      </c>
      <c r="F53" s="34" t="str">
        <f>IF(D53=0,"",D53*VLOOKUP(C53,'LCA Data'!$C$8:$G$107,3,FALSE)*K53)</f>
        <v/>
      </c>
      <c r="G53" s="34" t="str">
        <f>IF(D53=0,"",D53*VLOOKUP(C53,'LCA Data'!$C$8:$G$107,4,FALSE)*K53)</f>
        <v/>
      </c>
      <c r="H53" s="35" t="str">
        <f>IF(D53=0,"",D53*VLOOKUP(C53,'LCA Data'!$C$8:$G$107,5,FALSE)*K53)</f>
        <v/>
      </c>
      <c r="I53" s="3" t="str">
        <f t="shared" si="0"/>
        <v>Lists!M1</v>
      </c>
      <c r="J53" s="3">
        <f t="shared" si="1"/>
        <v>1</v>
      </c>
      <c r="K53" s="3" t="str">
        <f>IF(D53=0,"",VLOOKUP(C53,'LCA Data'!$C$8:$T$107,18,FALSE))</f>
        <v/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1"/>
      <c r="B54" s="32" t="s">
        <v>25</v>
      </c>
      <c r="C54" s="36" t="s">
        <v>23</v>
      </c>
      <c r="D54" s="33"/>
      <c r="E54" s="34" t="str">
        <f>IF(D54=0,"",D54*VLOOKUP(C54,'LCA Data'!$C$8:$G$107,2,FALSE)*K54)</f>
        <v/>
      </c>
      <c r="F54" s="34" t="str">
        <f>IF(D54=0,"",D54*VLOOKUP(C54,'LCA Data'!$C$8:$G$107,3,FALSE)*K54)</f>
        <v/>
      </c>
      <c r="G54" s="34" t="str">
        <f>IF(D54=0,"",D54*VLOOKUP(C54,'LCA Data'!$C$8:$G$107,4,FALSE)*K54)</f>
        <v/>
      </c>
      <c r="H54" s="35" t="str">
        <f>IF(D54=0,"",D54*VLOOKUP(C54,'LCA Data'!$C$8:$G$107,5,FALSE)*K54)</f>
        <v/>
      </c>
      <c r="I54" s="3" t="str">
        <f t="shared" si="0"/>
        <v>Lists!M1</v>
      </c>
      <c r="J54" s="3">
        <f t="shared" si="1"/>
        <v>1</v>
      </c>
      <c r="K54" s="3" t="str">
        <f>IF(D54=0,"",VLOOKUP(C54,'LCA Data'!$C$8:$T$107,18,FALSE))</f>
        <v/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1"/>
      <c r="B55" s="32" t="s">
        <v>25</v>
      </c>
      <c r="C55" s="36" t="s">
        <v>23</v>
      </c>
      <c r="D55" s="33"/>
      <c r="E55" s="34" t="str">
        <f>IF(D55=0,"",D55*VLOOKUP(C55,'LCA Data'!$C$8:$G$107,2,FALSE)*K55)</f>
        <v/>
      </c>
      <c r="F55" s="34" t="str">
        <f>IF(D55=0,"",D55*VLOOKUP(C55,'LCA Data'!$C$8:$G$107,3,FALSE)*K55)</f>
        <v/>
      </c>
      <c r="G55" s="34" t="str">
        <f>IF(D55=0,"",D55*VLOOKUP(C55,'LCA Data'!$C$8:$G$107,4,FALSE)*K55)</f>
        <v/>
      </c>
      <c r="H55" s="35" t="str">
        <f>IF(D55=0,"",D55*VLOOKUP(C55,'LCA Data'!$C$8:$G$107,5,FALSE)*K55)</f>
        <v/>
      </c>
      <c r="I55" s="3" t="str">
        <f t="shared" si="0"/>
        <v>Lists!M1</v>
      </c>
      <c r="J55" s="3">
        <f t="shared" si="1"/>
        <v>1</v>
      </c>
      <c r="K55" s="3" t="str">
        <f>IF(D55=0,"",VLOOKUP(C55,'LCA Data'!$C$8:$T$107,18,FALSE))</f>
        <v/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1"/>
      <c r="B56" s="32" t="s">
        <v>25</v>
      </c>
      <c r="C56" s="36" t="s">
        <v>23</v>
      </c>
      <c r="D56" s="33"/>
      <c r="E56" s="34" t="str">
        <f>IF(D56=0,"",D56*VLOOKUP(C56,'LCA Data'!$C$8:$G$107,2,FALSE)*K56)</f>
        <v/>
      </c>
      <c r="F56" s="34" t="str">
        <f>IF(D56=0,"",D56*VLOOKUP(C56,'LCA Data'!$C$8:$G$107,3,FALSE)*K56)</f>
        <v/>
      </c>
      <c r="G56" s="34" t="str">
        <f>IF(D56=0,"",D56*VLOOKUP(C56,'LCA Data'!$C$8:$G$107,4,FALSE)*K56)</f>
        <v/>
      </c>
      <c r="H56" s="35" t="str">
        <f>IF(D56=0,"",D56*VLOOKUP(C56,'LCA Data'!$C$8:$G$107,5,FALSE)*K56)</f>
        <v/>
      </c>
      <c r="I56" s="3" t="str">
        <f t="shared" si="0"/>
        <v>Lists!M1</v>
      </c>
      <c r="J56" s="3">
        <f t="shared" si="1"/>
        <v>1</v>
      </c>
      <c r="K56" s="3" t="str">
        <f>IF(D56=0,"",VLOOKUP(C56,'LCA Data'!$C$8:$T$107,18,FALSE))</f>
        <v/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1"/>
      <c r="B57" s="32" t="s">
        <v>25</v>
      </c>
      <c r="C57" s="36" t="s">
        <v>23</v>
      </c>
      <c r="D57" s="33"/>
      <c r="E57" s="34" t="str">
        <f>IF(D57=0,"",D57*VLOOKUP(C57,'LCA Data'!$C$8:$G$107,2,FALSE)*K57)</f>
        <v/>
      </c>
      <c r="F57" s="34" t="str">
        <f>IF(D57=0,"",D57*VLOOKUP(C57,'LCA Data'!$C$8:$G$107,3,FALSE)*K57)</f>
        <v/>
      </c>
      <c r="G57" s="34" t="str">
        <f>IF(D57=0,"",D57*VLOOKUP(C57,'LCA Data'!$C$8:$G$107,4,FALSE)*K57)</f>
        <v/>
      </c>
      <c r="H57" s="35" t="str">
        <f>IF(D57=0,"",D57*VLOOKUP(C57,'LCA Data'!$C$8:$G$107,5,FALSE)*K57)</f>
        <v/>
      </c>
      <c r="I57" s="3" t="str">
        <f t="shared" si="0"/>
        <v>Lists!M1</v>
      </c>
      <c r="J57" s="3">
        <f t="shared" si="1"/>
        <v>1</v>
      </c>
      <c r="K57" s="3" t="str">
        <f>IF(D57=0,"",VLOOKUP(C57,'LCA Data'!$C$8:$T$107,18,FALSE))</f>
        <v/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1"/>
      <c r="B58" s="32" t="s">
        <v>25</v>
      </c>
      <c r="C58" s="36" t="s">
        <v>23</v>
      </c>
      <c r="D58" s="33"/>
      <c r="E58" s="34" t="str">
        <f>IF(D58=0,"",D58*VLOOKUP(C58,'LCA Data'!$C$8:$G$107,2,FALSE)*K58)</f>
        <v/>
      </c>
      <c r="F58" s="34" t="str">
        <f>IF(D58=0,"",D58*VLOOKUP(C58,'LCA Data'!$C$8:$G$107,3,FALSE)*K58)</f>
        <v/>
      </c>
      <c r="G58" s="34" t="str">
        <f>IF(D58=0,"",D58*VLOOKUP(C58,'LCA Data'!$C$8:$G$107,4,FALSE)*K58)</f>
        <v/>
      </c>
      <c r="H58" s="35" t="str">
        <f>IF(D58=0,"",D58*VLOOKUP(C58,'LCA Data'!$C$8:$G$107,5,FALSE)*K58)</f>
        <v/>
      </c>
      <c r="I58" s="3" t="str">
        <f t="shared" si="0"/>
        <v>Lists!M1</v>
      </c>
      <c r="J58" s="3">
        <f t="shared" si="1"/>
        <v>1</v>
      </c>
      <c r="K58" s="3" t="str">
        <f>IF(D58=0,"",VLOOKUP(C58,'LCA Data'!$C$8:$T$107,18,FALSE))</f>
        <v/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2"/>
      <c r="E59" s="2"/>
      <c r="F59" s="2"/>
      <c r="G59" s="2"/>
      <c r="H59" s="2"/>
      <c r="I59" s="3"/>
      <c r="J59" s="3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2"/>
      <c r="E60" s="2"/>
      <c r="F60" s="2"/>
      <c r="G60" s="2"/>
      <c r="H60" s="2"/>
      <c r="I60" s="3"/>
      <c r="J60" s="3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2"/>
      <c r="E61" s="2"/>
      <c r="F61" s="2"/>
      <c r="G61" s="2"/>
      <c r="H61" s="2"/>
      <c r="I61" s="3"/>
      <c r="J61" s="3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2"/>
      <c r="E62" s="2"/>
      <c r="F62" s="2"/>
      <c r="G62" s="2"/>
      <c r="H62" s="2"/>
      <c r="I62" s="3"/>
      <c r="J62" s="3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2"/>
      <c r="E63" s="2"/>
      <c r="F63" s="2"/>
      <c r="G63" s="2"/>
      <c r="H63" s="2"/>
      <c r="I63" s="3"/>
      <c r="J63" s="3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2"/>
      <c r="E64" s="2"/>
      <c r="F64" s="2"/>
      <c r="G64" s="2"/>
      <c r="H64" s="2"/>
      <c r="I64" s="3"/>
      <c r="J64" s="3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2"/>
      <c r="E65" s="2"/>
      <c r="F65" s="2"/>
      <c r="G65" s="2"/>
      <c r="H65" s="2"/>
      <c r="I65" s="3"/>
      <c r="J65" s="3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2"/>
      <c r="E66" s="2"/>
      <c r="F66" s="2"/>
      <c r="G66" s="2"/>
      <c r="H66" s="2"/>
      <c r="I66" s="3"/>
      <c r="J66" s="3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2"/>
      <c r="E67" s="2"/>
      <c r="F67" s="2"/>
      <c r="G67" s="2"/>
      <c r="H67" s="2"/>
      <c r="I67" s="3"/>
      <c r="J67" s="3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2"/>
      <c r="E68" s="2"/>
      <c r="F68" s="2"/>
      <c r="G68" s="2"/>
      <c r="H68" s="2"/>
      <c r="I68" s="3"/>
      <c r="J68" s="3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2"/>
      <c r="E69" s="2"/>
      <c r="F69" s="2"/>
      <c r="G69" s="2"/>
      <c r="H69" s="2"/>
      <c r="I69" s="3"/>
      <c r="J69" s="3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2"/>
      <c r="E70" s="2"/>
      <c r="F70" s="2"/>
      <c r="G70" s="2"/>
      <c r="H70" s="2"/>
      <c r="I70" s="3"/>
      <c r="J70" s="3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2"/>
      <c r="E71" s="2"/>
      <c r="F71" s="2"/>
      <c r="G71" s="2"/>
      <c r="H71" s="2"/>
      <c r="I71" s="3"/>
      <c r="J71" s="3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2"/>
      <c r="E72" s="2"/>
      <c r="F72" s="2"/>
      <c r="G72" s="2"/>
      <c r="H72" s="2"/>
      <c r="I72" s="3"/>
      <c r="J72" s="3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2"/>
      <c r="E73" s="2"/>
      <c r="F73" s="2"/>
      <c r="G73" s="2"/>
      <c r="H73" s="2"/>
      <c r="I73" s="3"/>
      <c r="J73" s="3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2"/>
      <c r="E74" s="2"/>
      <c r="F74" s="2"/>
      <c r="G74" s="2"/>
      <c r="H74" s="2"/>
      <c r="I74" s="3"/>
      <c r="J74" s="3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2"/>
      <c r="E75" s="2"/>
      <c r="F75" s="2"/>
      <c r="G75" s="2"/>
      <c r="H75" s="2"/>
      <c r="I75" s="3"/>
      <c r="J75" s="3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2"/>
      <c r="E76" s="2"/>
      <c r="F76" s="2"/>
      <c r="G76" s="2"/>
      <c r="H76" s="2"/>
      <c r="I76" s="3"/>
      <c r="J76" s="3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2"/>
      <c r="E77" s="2"/>
      <c r="F77" s="2"/>
      <c r="G77" s="2"/>
      <c r="H77" s="2"/>
      <c r="I77" s="3"/>
      <c r="J77" s="3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2"/>
      <c r="E78" s="2"/>
      <c r="F78" s="2"/>
      <c r="G78" s="2"/>
      <c r="H78" s="2"/>
      <c r="I78" s="3"/>
      <c r="J78" s="3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2"/>
      <c r="E79" s="2"/>
      <c r="F79" s="2"/>
      <c r="G79" s="2"/>
      <c r="H79" s="2"/>
      <c r="I79" s="3"/>
      <c r="J79" s="3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2"/>
      <c r="E80" s="2"/>
      <c r="F80" s="2"/>
      <c r="G80" s="2"/>
      <c r="H80" s="2"/>
      <c r="I80" s="3"/>
      <c r="J80" s="3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2"/>
      <c r="E81" s="2"/>
      <c r="F81" s="2"/>
      <c r="G81" s="2"/>
      <c r="H81" s="2"/>
      <c r="I81" s="3"/>
      <c r="J81" s="3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2"/>
      <c r="E82" s="2"/>
      <c r="F82" s="2"/>
      <c r="G82" s="2"/>
      <c r="H82" s="2"/>
      <c r="I82" s="3"/>
      <c r="J82" s="3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2"/>
      <c r="E83" s="2"/>
      <c r="F83" s="2"/>
      <c r="G83" s="2"/>
      <c r="H83" s="2"/>
      <c r="I83" s="3"/>
      <c r="J83" s="3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2"/>
      <c r="E84" s="2"/>
      <c r="F84" s="2"/>
      <c r="G84" s="2"/>
      <c r="H84" s="2"/>
      <c r="I84" s="3"/>
      <c r="J84" s="3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2"/>
      <c r="E85" s="2"/>
      <c r="F85" s="2"/>
      <c r="G85" s="2"/>
      <c r="H85" s="2"/>
      <c r="I85" s="3"/>
      <c r="J85" s="3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2"/>
      <c r="E86" s="2"/>
      <c r="F86" s="2"/>
      <c r="G86" s="2"/>
      <c r="H86" s="2"/>
      <c r="I86" s="3"/>
      <c r="J86" s="3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2"/>
      <c r="E87" s="2"/>
      <c r="F87" s="2"/>
      <c r="G87" s="2"/>
      <c r="H87" s="2"/>
      <c r="I87" s="3"/>
      <c r="J87" s="3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2"/>
      <c r="E88" s="2"/>
      <c r="F88" s="2"/>
      <c r="G88" s="2"/>
      <c r="H88" s="2"/>
      <c r="I88" s="3"/>
      <c r="J88" s="3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2"/>
      <c r="E89" s="2"/>
      <c r="F89" s="2"/>
      <c r="G89" s="2"/>
      <c r="H89" s="2"/>
      <c r="I89" s="3"/>
      <c r="J89" s="3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2"/>
      <c r="E90" s="2"/>
      <c r="F90" s="2"/>
      <c r="G90" s="2"/>
      <c r="H90" s="2"/>
      <c r="I90" s="3"/>
      <c r="J90" s="3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2"/>
      <c r="E91" s="2"/>
      <c r="F91" s="2"/>
      <c r="G91" s="2"/>
      <c r="H91" s="2"/>
      <c r="I91" s="3"/>
      <c r="J91" s="3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2"/>
      <c r="E92" s="2"/>
      <c r="F92" s="2"/>
      <c r="G92" s="2"/>
      <c r="H92" s="2"/>
      <c r="I92" s="3"/>
      <c r="J92" s="3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2"/>
      <c r="E93" s="2"/>
      <c r="F93" s="2"/>
      <c r="G93" s="2"/>
      <c r="H93" s="2"/>
      <c r="I93" s="3"/>
      <c r="J93" s="3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2"/>
      <c r="E94" s="2"/>
      <c r="F94" s="2"/>
      <c r="G94" s="2"/>
      <c r="H94" s="2"/>
      <c r="I94" s="3"/>
      <c r="J94" s="3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2"/>
      <c r="E95" s="2"/>
      <c r="F95" s="2"/>
      <c r="G95" s="2"/>
      <c r="H95" s="2"/>
      <c r="I95" s="3"/>
      <c r="J95" s="3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2"/>
      <c r="E96" s="2"/>
      <c r="F96" s="2"/>
      <c r="G96" s="2"/>
      <c r="H96" s="2"/>
      <c r="I96" s="3"/>
      <c r="J96" s="3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2"/>
      <c r="E97" s="2"/>
      <c r="F97" s="2"/>
      <c r="G97" s="2"/>
      <c r="H97" s="2"/>
      <c r="I97" s="3"/>
      <c r="J97" s="3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2"/>
      <c r="E98" s="2"/>
      <c r="F98" s="2"/>
      <c r="G98" s="2"/>
      <c r="H98" s="2"/>
      <c r="I98" s="3"/>
      <c r="J98" s="3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2"/>
      <c r="E99" s="2"/>
      <c r="F99" s="2"/>
      <c r="G99" s="2"/>
      <c r="H99" s="2"/>
      <c r="I99" s="3"/>
      <c r="J99" s="3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2"/>
      <c r="E100" s="2"/>
      <c r="F100" s="2"/>
      <c r="G100" s="2"/>
      <c r="H100" s="2"/>
      <c r="I100" s="3"/>
      <c r="J100" s="3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2"/>
      <c r="E101" s="2"/>
      <c r="F101" s="2"/>
      <c r="G101" s="2"/>
      <c r="H101" s="2"/>
      <c r="I101" s="3"/>
      <c r="J101" s="3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2"/>
      <c r="E102" s="2"/>
      <c r="F102" s="2"/>
      <c r="G102" s="2"/>
      <c r="H102" s="2"/>
      <c r="I102" s="3"/>
      <c r="J102" s="3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2"/>
      <c r="E103" s="2"/>
      <c r="F103" s="2"/>
      <c r="G103" s="2"/>
      <c r="H103" s="2"/>
      <c r="I103" s="3"/>
      <c r="J103" s="3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2"/>
      <c r="E104" s="2"/>
      <c r="F104" s="2"/>
      <c r="G104" s="2"/>
      <c r="H104" s="2"/>
      <c r="I104" s="3"/>
      <c r="J104" s="3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2"/>
      <c r="E105" s="2"/>
      <c r="F105" s="2"/>
      <c r="G105" s="2"/>
      <c r="H105" s="2"/>
      <c r="I105" s="3"/>
      <c r="J105" s="3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2"/>
      <c r="E106" s="2"/>
      <c r="F106" s="2"/>
      <c r="G106" s="2"/>
      <c r="H106" s="2"/>
      <c r="I106" s="3"/>
      <c r="J106" s="3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2"/>
      <c r="E107" s="2"/>
      <c r="F107" s="2"/>
      <c r="G107" s="2"/>
      <c r="H107" s="2"/>
      <c r="I107" s="3"/>
      <c r="J107" s="3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2"/>
      <c r="E108" s="2"/>
      <c r="F108" s="2"/>
      <c r="G108" s="2"/>
      <c r="H108" s="2"/>
      <c r="I108" s="3"/>
      <c r="J108" s="3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2"/>
      <c r="E109" s="2"/>
      <c r="F109" s="2"/>
      <c r="G109" s="2"/>
      <c r="H109" s="2"/>
      <c r="I109" s="3"/>
      <c r="J109" s="3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2"/>
      <c r="E110" s="2"/>
      <c r="F110" s="2"/>
      <c r="G110" s="2"/>
      <c r="H110" s="2"/>
      <c r="I110" s="3"/>
      <c r="J110" s="3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2"/>
      <c r="E111" s="2"/>
      <c r="F111" s="2"/>
      <c r="G111" s="2"/>
      <c r="H111" s="2"/>
      <c r="I111" s="3"/>
      <c r="J111" s="3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2"/>
      <c r="E112" s="2"/>
      <c r="F112" s="2"/>
      <c r="G112" s="2"/>
      <c r="H112" s="2"/>
      <c r="I112" s="3"/>
      <c r="J112" s="3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2"/>
      <c r="E113" s="2"/>
      <c r="F113" s="2"/>
      <c r="G113" s="2"/>
      <c r="H113" s="2"/>
      <c r="I113" s="3"/>
      <c r="J113" s="3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2"/>
      <c r="E114" s="2"/>
      <c r="F114" s="2"/>
      <c r="G114" s="2"/>
      <c r="H114" s="2"/>
      <c r="I114" s="3"/>
      <c r="J114" s="3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2"/>
      <c r="E115" s="2"/>
      <c r="F115" s="2"/>
      <c r="G115" s="2"/>
      <c r="H115" s="2"/>
      <c r="I115" s="3"/>
      <c r="J115" s="3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2"/>
      <c r="E116" s="2"/>
      <c r="F116" s="2"/>
      <c r="G116" s="2"/>
      <c r="H116" s="2"/>
      <c r="I116" s="3"/>
      <c r="J116" s="3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2"/>
      <c r="E117" s="2"/>
      <c r="F117" s="2"/>
      <c r="G117" s="2"/>
      <c r="H117" s="2"/>
      <c r="I117" s="3"/>
      <c r="J117" s="3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2"/>
      <c r="E118" s="2"/>
      <c r="F118" s="2"/>
      <c r="G118" s="2"/>
      <c r="H118" s="2"/>
      <c r="I118" s="3"/>
      <c r="J118" s="3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2"/>
      <c r="E119" s="2"/>
      <c r="F119" s="2"/>
      <c r="G119" s="2"/>
      <c r="H119" s="2"/>
      <c r="I119" s="3"/>
      <c r="J119" s="3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2"/>
      <c r="E120" s="2"/>
      <c r="F120" s="2"/>
      <c r="G120" s="2"/>
      <c r="H120" s="2"/>
      <c r="I120" s="3"/>
      <c r="J120" s="3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2"/>
      <c r="E121" s="2"/>
      <c r="F121" s="2"/>
      <c r="G121" s="2"/>
      <c r="H121" s="2"/>
      <c r="I121" s="3"/>
      <c r="J121" s="3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2"/>
      <c r="E122" s="2"/>
      <c r="F122" s="2"/>
      <c r="G122" s="2"/>
      <c r="H122" s="2"/>
      <c r="I122" s="3"/>
      <c r="J122" s="3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2"/>
      <c r="E123" s="2"/>
      <c r="F123" s="2"/>
      <c r="G123" s="2"/>
      <c r="H123" s="2"/>
      <c r="I123" s="3"/>
      <c r="J123" s="3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2"/>
      <c r="E124" s="2"/>
      <c r="F124" s="2"/>
      <c r="G124" s="2"/>
      <c r="H124" s="2"/>
      <c r="I124" s="3"/>
      <c r="J124" s="3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2"/>
      <c r="E125" s="2"/>
      <c r="F125" s="2"/>
      <c r="G125" s="2"/>
      <c r="H125" s="2"/>
      <c r="I125" s="3"/>
      <c r="J125" s="3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2"/>
      <c r="E126" s="2"/>
      <c r="F126" s="2"/>
      <c r="G126" s="2"/>
      <c r="H126" s="2"/>
      <c r="I126" s="3"/>
      <c r="J126" s="3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2"/>
      <c r="E127" s="2"/>
      <c r="F127" s="2"/>
      <c r="G127" s="2"/>
      <c r="H127" s="2"/>
      <c r="I127" s="3"/>
      <c r="J127" s="3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2"/>
      <c r="E128" s="2"/>
      <c r="F128" s="2"/>
      <c r="G128" s="2"/>
      <c r="H128" s="2"/>
      <c r="I128" s="3"/>
      <c r="J128" s="3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2"/>
      <c r="E129" s="2"/>
      <c r="F129" s="2"/>
      <c r="G129" s="2"/>
      <c r="H129" s="2"/>
      <c r="I129" s="3"/>
      <c r="J129" s="3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2"/>
      <c r="E130" s="2"/>
      <c r="F130" s="2"/>
      <c r="G130" s="2"/>
      <c r="H130" s="2"/>
      <c r="I130" s="3"/>
      <c r="J130" s="3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2"/>
      <c r="E131" s="2"/>
      <c r="F131" s="2"/>
      <c r="G131" s="2"/>
      <c r="H131" s="2"/>
      <c r="I131" s="3"/>
      <c r="J131" s="3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2"/>
      <c r="E132" s="2"/>
      <c r="F132" s="2"/>
      <c r="G132" s="2"/>
      <c r="H132" s="2"/>
      <c r="I132" s="3"/>
      <c r="J132" s="3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2"/>
      <c r="E133" s="2"/>
      <c r="F133" s="2"/>
      <c r="G133" s="2"/>
      <c r="H133" s="2"/>
      <c r="I133" s="3"/>
      <c r="J133" s="3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2"/>
      <c r="E134" s="2"/>
      <c r="F134" s="2"/>
      <c r="G134" s="2"/>
      <c r="H134" s="2"/>
      <c r="I134" s="3"/>
      <c r="J134" s="3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2"/>
      <c r="E135" s="2"/>
      <c r="F135" s="2"/>
      <c r="G135" s="2"/>
      <c r="H135" s="2"/>
      <c r="I135" s="3"/>
      <c r="J135" s="3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2"/>
      <c r="E136" s="2"/>
      <c r="F136" s="2"/>
      <c r="G136" s="2"/>
      <c r="H136" s="2"/>
      <c r="I136" s="3"/>
      <c r="J136" s="3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2"/>
      <c r="E137" s="2"/>
      <c r="F137" s="2"/>
      <c r="G137" s="2"/>
      <c r="H137" s="2"/>
      <c r="I137" s="3"/>
      <c r="J137" s="3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2"/>
      <c r="E138" s="2"/>
      <c r="F138" s="2"/>
      <c r="G138" s="2"/>
      <c r="H138" s="2"/>
      <c r="I138" s="3"/>
      <c r="J138" s="3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2"/>
      <c r="E139" s="2"/>
      <c r="F139" s="2"/>
      <c r="G139" s="2"/>
      <c r="H139" s="2"/>
      <c r="I139" s="3"/>
      <c r="J139" s="3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2"/>
      <c r="E140" s="2"/>
      <c r="F140" s="2"/>
      <c r="G140" s="2"/>
      <c r="H140" s="2"/>
      <c r="I140" s="3"/>
      <c r="J140" s="3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2"/>
      <c r="E141" s="2"/>
      <c r="F141" s="2"/>
      <c r="G141" s="2"/>
      <c r="H141" s="2"/>
      <c r="I141" s="3"/>
      <c r="J141" s="3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2"/>
      <c r="E142" s="2"/>
      <c r="F142" s="2"/>
      <c r="G142" s="2"/>
      <c r="H142" s="2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2"/>
      <c r="E143" s="2"/>
      <c r="F143" s="2"/>
      <c r="G143" s="2"/>
      <c r="H143" s="2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2"/>
      <c r="E144" s="2"/>
      <c r="F144" s="2"/>
      <c r="G144" s="2"/>
      <c r="H144" s="2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2"/>
      <c r="E145" s="2"/>
      <c r="F145" s="2"/>
      <c r="G145" s="2"/>
      <c r="H145" s="2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2"/>
      <c r="E146" s="2"/>
      <c r="F146" s="2"/>
      <c r="G146" s="2"/>
      <c r="H146" s="2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2"/>
      <c r="E147" s="2"/>
      <c r="F147" s="2"/>
      <c r="G147" s="2"/>
      <c r="H147" s="2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2"/>
      <c r="E148" s="2"/>
      <c r="F148" s="2"/>
      <c r="G148" s="2"/>
      <c r="H148" s="2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2"/>
      <c r="E149" s="2"/>
      <c r="F149" s="2"/>
      <c r="G149" s="2"/>
      <c r="H149" s="2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2"/>
      <c r="E150" s="2"/>
      <c r="F150" s="2"/>
      <c r="G150" s="2"/>
      <c r="H150" s="2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2"/>
      <c r="E151" s="2"/>
      <c r="F151" s="2"/>
      <c r="G151" s="2"/>
      <c r="H151" s="2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2"/>
      <c r="E152" s="2"/>
      <c r="F152" s="2"/>
      <c r="G152" s="2"/>
      <c r="H152" s="2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2"/>
      <c r="E153" s="2"/>
      <c r="F153" s="2"/>
      <c r="G153" s="2"/>
      <c r="H153" s="2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2"/>
      <c r="E154" s="2"/>
      <c r="F154" s="2"/>
      <c r="G154" s="2"/>
      <c r="H154" s="2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2"/>
      <c r="E155" s="2"/>
      <c r="F155" s="2"/>
      <c r="G155" s="2"/>
      <c r="H155" s="2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2"/>
      <c r="E156" s="2"/>
      <c r="F156" s="2"/>
      <c r="G156" s="2"/>
      <c r="H156" s="2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2"/>
      <c r="E157" s="2"/>
      <c r="F157" s="2"/>
      <c r="G157" s="2"/>
      <c r="H157" s="2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2"/>
      <c r="E158" s="2"/>
      <c r="F158" s="2"/>
      <c r="G158" s="2"/>
      <c r="H158" s="2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2"/>
      <c r="E159" s="2"/>
      <c r="F159" s="2"/>
      <c r="G159" s="2"/>
      <c r="H159" s="2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2"/>
      <c r="E160" s="2"/>
      <c r="F160" s="2"/>
      <c r="G160" s="2"/>
      <c r="H160" s="2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2"/>
      <c r="E161" s="2"/>
      <c r="F161" s="2"/>
      <c r="G161" s="2"/>
      <c r="H161" s="2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2"/>
      <c r="E162" s="2"/>
      <c r="F162" s="2"/>
      <c r="G162" s="2"/>
      <c r="H162" s="2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2"/>
      <c r="E163" s="2"/>
      <c r="F163" s="2"/>
      <c r="G163" s="2"/>
      <c r="H163" s="2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2"/>
      <c r="E164" s="2"/>
      <c r="F164" s="2"/>
      <c r="G164" s="2"/>
      <c r="H164" s="2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2"/>
      <c r="E165" s="2"/>
      <c r="F165" s="2"/>
      <c r="G165" s="2"/>
      <c r="H165" s="2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2"/>
      <c r="E166" s="2"/>
      <c r="F166" s="2"/>
      <c r="G166" s="2"/>
      <c r="H166" s="2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2"/>
      <c r="E167" s="2"/>
      <c r="F167" s="2"/>
      <c r="G167" s="2"/>
      <c r="H167" s="2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2"/>
      <c r="E168" s="2"/>
      <c r="F168" s="2"/>
      <c r="G168" s="2"/>
      <c r="H168" s="2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2"/>
      <c r="E169" s="2"/>
      <c r="F169" s="2"/>
      <c r="G169" s="2"/>
      <c r="H169" s="2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2"/>
      <c r="E170" s="2"/>
      <c r="F170" s="2"/>
      <c r="G170" s="2"/>
      <c r="H170" s="2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2"/>
      <c r="E171" s="2"/>
      <c r="F171" s="2"/>
      <c r="G171" s="2"/>
      <c r="H171" s="2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2"/>
      <c r="E172" s="2"/>
      <c r="F172" s="2"/>
      <c r="G172" s="2"/>
      <c r="H172" s="2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2"/>
      <c r="E173" s="2"/>
      <c r="F173" s="2"/>
      <c r="G173" s="2"/>
      <c r="H173" s="2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2"/>
      <c r="E174" s="2"/>
      <c r="F174" s="2"/>
      <c r="G174" s="2"/>
      <c r="H174" s="2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2"/>
      <c r="E175" s="2"/>
      <c r="F175" s="2"/>
      <c r="G175" s="2"/>
      <c r="H175" s="2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2"/>
      <c r="E176" s="2"/>
      <c r="F176" s="2"/>
      <c r="G176" s="2"/>
      <c r="H176" s="2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2"/>
      <c r="E177" s="2"/>
      <c r="F177" s="2"/>
      <c r="G177" s="2"/>
      <c r="H177" s="2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2"/>
      <c r="E178" s="2"/>
      <c r="F178" s="2"/>
      <c r="G178" s="2"/>
      <c r="H178" s="2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2"/>
      <c r="E179" s="2"/>
      <c r="F179" s="2"/>
      <c r="G179" s="2"/>
      <c r="H179" s="2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2"/>
      <c r="E180" s="2"/>
      <c r="F180" s="2"/>
      <c r="G180" s="2"/>
      <c r="H180" s="2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2"/>
      <c r="E181" s="2"/>
      <c r="F181" s="2"/>
      <c r="G181" s="2"/>
      <c r="H181" s="2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2"/>
      <c r="E182" s="2"/>
      <c r="F182" s="2"/>
      <c r="G182" s="2"/>
      <c r="H182" s="2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2"/>
      <c r="E183" s="2"/>
      <c r="F183" s="2"/>
      <c r="G183" s="2"/>
      <c r="H183" s="2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2"/>
      <c r="E184" s="2"/>
      <c r="F184" s="2"/>
      <c r="G184" s="2"/>
      <c r="H184" s="2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2"/>
      <c r="E185" s="2"/>
      <c r="F185" s="2"/>
      <c r="G185" s="2"/>
      <c r="H185" s="2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2"/>
      <c r="E186" s="2"/>
      <c r="F186" s="2"/>
      <c r="G186" s="2"/>
      <c r="H186" s="2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2"/>
      <c r="E187" s="2"/>
      <c r="F187" s="2"/>
      <c r="G187" s="2"/>
      <c r="H187" s="2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2"/>
      <c r="E188" s="2"/>
      <c r="F188" s="2"/>
      <c r="G188" s="2"/>
      <c r="H188" s="2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2"/>
      <c r="E189" s="2"/>
      <c r="F189" s="2"/>
      <c r="G189" s="2"/>
      <c r="H189" s="2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2"/>
      <c r="E190" s="2"/>
      <c r="F190" s="2"/>
      <c r="G190" s="2"/>
      <c r="H190" s="2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2"/>
      <c r="E191" s="2"/>
      <c r="F191" s="2"/>
      <c r="G191" s="2"/>
      <c r="H191" s="2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2"/>
      <c r="E192" s="2"/>
      <c r="F192" s="2"/>
      <c r="G192" s="2"/>
      <c r="H192" s="2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2"/>
      <c r="E193" s="2"/>
      <c r="F193" s="2"/>
      <c r="G193" s="2"/>
      <c r="H193" s="2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2"/>
      <c r="E194" s="2"/>
      <c r="F194" s="2"/>
      <c r="G194" s="2"/>
      <c r="H194" s="2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2"/>
      <c r="E195" s="2"/>
      <c r="F195" s="2"/>
      <c r="G195" s="2"/>
      <c r="H195" s="2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2"/>
      <c r="E196" s="2"/>
      <c r="F196" s="2"/>
      <c r="G196" s="2"/>
      <c r="H196" s="2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2"/>
      <c r="E197" s="2"/>
      <c r="F197" s="2"/>
      <c r="G197" s="2"/>
      <c r="H197" s="2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2"/>
      <c r="E198" s="2"/>
      <c r="F198" s="2"/>
      <c r="G198" s="2"/>
      <c r="H198" s="2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2"/>
      <c r="E199" s="2"/>
      <c r="F199" s="2"/>
      <c r="G199" s="2"/>
      <c r="H199" s="2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2"/>
      <c r="E200" s="2"/>
      <c r="F200" s="2"/>
      <c r="G200" s="2"/>
      <c r="H200" s="2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2"/>
      <c r="E201" s="2"/>
      <c r="F201" s="2"/>
      <c r="G201" s="2"/>
      <c r="H201" s="2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2"/>
      <c r="E202" s="2"/>
      <c r="F202" s="2"/>
      <c r="G202" s="2"/>
      <c r="H202" s="2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2"/>
      <c r="E203" s="2"/>
      <c r="F203" s="2"/>
      <c r="G203" s="2"/>
      <c r="H203" s="2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2"/>
      <c r="E204" s="2"/>
      <c r="F204" s="2"/>
      <c r="G204" s="2"/>
      <c r="H204" s="2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2"/>
      <c r="E205" s="2"/>
      <c r="F205" s="2"/>
      <c r="G205" s="2"/>
      <c r="H205" s="2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2"/>
      <c r="E206" s="2"/>
      <c r="F206" s="2"/>
      <c r="G206" s="2"/>
      <c r="H206" s="2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2"/>
      <c r="E207" s="2"/>
      <c r="F207" s="2"/>
      <c r="G207" s="2"/>
      <c r="H207" s="2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2"/>
      <c r="E208" s="2"/>
      <c r="F208" s="2"/>
      <c r="G208" s="2"/>
      <c r="H208" s="2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2"/>
      <c r="E209" s="2"/>
      <c r="F209" s="2"/>
      <c r="G209" s="2"/>
      <c r="H209" s="2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2"/>
      <c r="E210" s="2"/>
      <c r="F210" s="2"/>
      <c r="G210" s="2"/>
      <c r="H210" s="2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2"/>
      <c r="E211" s="2"/>
      <c r="F211" s="2"/>
      <c r="G211" s="2"/>
      <c r="H211" s="2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2"/>
      <c r="E212" s="2"/>
      <c r="F212" s="2"/>
      <c r="G212" s="2"/>
      <c r="H212" s="2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2"/>
      <c r="E213" s="2"/>
      <c r="F213" s="2"/>
      <c r="G213" s="2"/>
      <c r="H213" s="2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2"/>
      <c r="E214" s="2"/>
      <c r="F214" s="2"/>
      <c r="G214" s="2"/>
      <c r="H214" s="2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2"/>
      <c r="E215" s="2"/>
      <c r="F215" s="2"/>
      <c r="G215" s="2"/>
      <c r="H215" s="2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2"/>
      <c r="E216" s="2"/>
      <c r="F216" s="2"/>
      <c r="G216" s="2"/>
      <c r="H216" s="2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2"/>
      <c r="E217" s="2"/>
      <c r="F217" s="2"/>
      <c r="G217" s="2"/>
      <c r="H217" s="2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2"/>
      <c r="E218" s="2"/>
      <c r="F218" s="2"/>
      <c r="G218" s="2"/>
      <c r="H218" s="2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2"/>
      <c r="E219" s="2"/>
      <c r="F219" s="2"/>
      <c r="G219" s="2"/>
      <c r="H219" s="2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2"/>
      <c r="E220" s="2"/>
      <c r="F220" s="2"/>
      <c r="G220" s="2"/>
      <c r="H220" s="2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2"/>
      <c r="E221" s="2"/>
      <c r="F221" s="2"/>
      <c r="G221" s="2"/>
      <c r="H221" s="2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2"/>
      <c r="E222" s="2"/>
      <c r="F222" s="2"/>
      <c r="G222" s="2"/>
      <c r="H222" s="2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2"/>
      <c r="E223" s="2"/>
      <c r="F223" s="2"/>
      <c r="G223" s="2"/>
      <c r="H223" s="2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2"/>
      <c r="E224" s="2"/>
      <c r="F224" s="2"/>
      <c r="G224" s="2"/>
      <c r="H224" s="2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2"/>
      <c r="E225" s="2"/>
      <c r="F225" s="2"/>
      <c r="G225" s="2"/>
      <c r="H225" s="2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2"/>
      <c r="E226" s="2"/>
      <c r="F226" s="2"/>
      <c r="G226" s="2"/>
      <c r="H226" s="2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2"/>
      <c r="E227" s="2"/>
      <c r="F227" s="2"/>
      <c r="G227" s="2"/>
      <c r="H227" s="2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2"/>
      <c r="E228" s="2"/>
      <c r="F228" s="2"/>
      <c r="G228" s="2"/>
      <c r="H228" s="2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2"/>
      <c r="E229" s="2"/>
      <c r="F229" s="2"/>
      <c r="G229" s="2"/>
      <c r="H229" s="2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2"/>
      <c r="E230" s="2"/>
      <c r="F230" s="2"/>
      <c r="G230" s="2"/>
      <c r="H230" s="2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2"/>
      <c r="E231" s="2"/>
      <c r="F231" s="2"/>
      <c r="G231" s="2"/>
      <c r="H231" s="2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2"/>
      <c r="E232" s="2"/>
      <c r="F232" s="2"/>
      <c r="G232" s="2"/>
      <c r="H232" s="2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2"/>
      <c r="E233" s="2"/>
      <c r="F233" s="2"/>
      <c r="G233" s="2"/>
      <c r="H233" s="2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2"/>
      <c r="E234" s="2"/>
      <c r="F234" s="2"/>
      <c r="G234" s="2"/>
      <c r="H234" s="2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2"/>
      <c r="E235" s="2"/>
      <c r="F235" s="2"/>
      <c r="G235" s="2"/>
      <c r="H235" s="2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2"/>
      <c r="E236" s="2"/>
      <c r="F236" s="2"/>
      <c r="G236" s="2"/>
      <c r="H236" s="2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2"/>
      <c r="E237" s="2"/>
      <c r="F237" s="2"/>
      <c r="G237" s="2"/>
      <c r="H237" s="2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2"/>
      <c r="E238" s="2"/>
      <c r="F238" s="2"/>
      <c r="G238" s="2"/>
      <c r="H238" s="2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2"/>
      <c r="E239" s="2"/>
      <c r="F239" s="2"/>
      <c r="G239" s="2"/>
      <c r="H239" s="2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2"/>
      <c r="E240" s="2"/>
      <c r="F240" s="2"/>
      <c r="G240" s="2"/>
      <c r="H240" s="2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2"/>
      <c r="E241" s="2"/>
      <c r="F241" s="2"/>
      <c r="G241" s="2"/>
      <c r="H241" s="2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2"/>
      <c r="E242" s="2"/>
      <c r="F242" s="2"/>
      <c r="G242" s="2"/>
      <c r="H242" s="2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2"/>
      <c r="E243" s="2"/>
      <c r="F243" s="2"/>
      <c r="G243" s="2"/>
      <c r="H243" s="2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2"/>
      <c r="E244" s="2"/>
      <c r="F244" s="2"/>
      <c r="G244" s="2"/>
      <c r="H244" s="2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5"/>
      <c r="B245" s="37"/>
      <c r="C245" s="37"/>
      <c r="D245" s="38"/>
      <c r="E245" s="38"/>
      <c r="F245" s="38"/>
      <c r="G245" s="38"/>
      <c r="H245" s="38"/>
      <c r="I245" s="39"/>
      <c r="J245" s="39"/>
      <c r="K245" s="39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" customHeight="1">
      <c r="A246" s="5"/>
      <c r="B246" s="37"/>
      <c r="C246" s="37"/>
      <c r="D246" s="38"/>
      <c r="E246" s="38"/>
      <c r="F246" s="38"/>
      <c r="G246" s="38"/>
      <c r="H246" s="38"/>
      <c r="I246" s="39"/>
      <c r="J246" s="39"/>
      <c r="K246" s="39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" customHeight="1">
      <c r="A247" s="5"/>
      <c r="B247" s="37"/>
      <c r="C247" s="37"/>
      <c r="D247" s="38"/>
      <c r="E247" s="38"/>
      <c r="F247" s="38"/>
      <c r="G247" s="38"/>
      <c r="H247" s="38"/>
      <c r="I247" s="39"/>
      <c r="J247" s="39"/>
      <c r="K247" s="39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" customHeight="1">
      <c r="A248" s="5"/>
      <c r="B248" s="37"/>
      <c r="C248" s="37"/>
      <c r="D248" s="38"/>
      <c r="E248" s="38"/>
      <c r="F248" s="38"/>
      <c r="G248" s="38"/>
      <c r="H248" s="38"/>
      <c r="I248" s="39"/>
      <c r="J248" s="39"/>
      <c r="K248" s="39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" customHeight="1">
      <c r="A249" s="5"/>
      <c r="B249" s="37"/>
      <c r="C249" s="37"/>
      <c r="D249" s="38"/>
      <c r="E249" s="38"/>
      <c r="F249" s="38"/>
      <c r="G249" s="38"/>
      <c r="H249" s="38"/>
      <c r="I249" s="39"/>
      <c r="J249" s="39"/>
      <c r="K249" s="39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" customHeight="1">
      <c r="A250" s="5"/>
      <c r="B250" s="37"/>
      <c r="C250" s="37"/>
      <c r="D250" s="38"/>
      <c r="E250" s="38"/>
      <c r="F250" s="38"/>
      <c r="G250" s="38"/>
      <c r="H250" s="38"/>
      <c r="I250" s="39"/>
      <c r="J250" s="39"/>
      <c r="K250" s="39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" customHeight="1">
      <c r="A251" s="5"/>
      <c r="B251" s="37"/>
      <c r="C251" s="37"/>
      <c r="D251" s="38"/>
      <c r="E251" s="38"/>
      <c r="F251" s="38"/>
      <c r="G251" s="38"/>
      <c r="H251" s="38"/>
      <c r="I251" s="39"/>
      <c r="J251" s="39"/>
      <c r="K251" s="39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" customHeight="1">
      <c r="A252" s="5"/>
      <c r="B252" s="37"/>
      <c r="C252" s="37"/>
      <c r="D252" s="38"/>
      <c r="E252" s="38"/>
      <c r="F252" s="38"/>
      <c r="G252" s="38"/>
      <c r="H252" s="38"/>
      <c r="I252" s="39"/>
      <c r="J252" s="39"/>
      <c r="K252" s="39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" customHeight="1">
      <c r="A253" s="5"/>
      <c r="B253" s="37"/>
      <c r="C253" s="37"/>
      <c r="D253" s="38"/>
      <c r="E253" s="38"/>
      <c r="F253" s="38"/>
      <c r="G253" s="38"/>
      <c r="H253" s="38"/>
      <c r="I253" s="39"/>
      <c r="J253" s="39"/>
      <c r="K253" s="39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" customHeight="1">
      <c r="A254" s="5"/>
      <c r="B254" s="37"/>
      <c r="C254" s="37"/>
      <c r="D254" s="38"/>
      <c r="E254" s="38"/>
      <c r="F254" s="38"/>
      <c r="G254" s="38"/>
      <c r="H254" s="38"/>
      <c r="I254" s="39"/>
      <c r="J254" s="39"/>
      <c r="K254" s="39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" customHeight="1">
      <c r="A255" s="5"/>
      <c r="B255" s="37"/>
      <c r="C255" s="37"/>
      <c r="D255" s="38"/>
      <c r="E255" s="38"/>
      <c r="F255" s="38"/>
      <c r="G255" s="38"/>
      <c r="H255" s="38"/>
      <c r="I255" s="39"/>
      <c r="J255" s="39"/>
      <c r="K255" s="39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" customHeight="1">
      <c r="A256" s="5"/>
      <c r="B256" s="37"/>
      <c r="C256" s="37"/>
      <c r="D256" s="38"/>
      <c r="E256" s="38"/>
      <c r="F256" s="38"/>
      <c r="G256" s="38"/>
      <c r="H256" s="38"/>
      <c r="I256" s="39"/>
      <c r="J256" s="39"/>
      <c r="K256" s="39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" customHeight="1">
      <c r="A257" s="5"/>
      <c r="B257" s="37"/>
      <c r="C257" s="37"/>
      <c r="D257" s="38"/>
      <c r="E257" s="38"/>
      <c r="F257" s="38"/>
      <c r="G257" s="38"/>
      <c r="H257" s="38"/>
      <c r="I257" s="39"/>
      <c r="J257" s="39"/>
      <c r="K257" s="39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" customHeight="1">
      <c r="A258" s="5"/>
      <c r="B258" s="37"/>
      <c r="C258" s="37"/>
      <c r="D258" s="38"/>
      <c r="E258" s="38"/>
      <c r="F258" s="38"/>
      <c r="G258" s="38"/>
      <c r="H258" s="38"/>
      <c r="I258" s="39"/>
      <c r="J258" s="39"/>
      <c r="K258" s="39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" customHeight="1">
      <c r="A259" s="5"/>
      <c r="B259" s="37"/>
      <c r="C259" s="37"/>
      <c r="D259" s="38"/>
      <c r="E259" s="38"/>
      <c r="F259" s="38"/>
      <c r="G259" s="38"/>
      <c r="H259" s="38"/>
      <c r="I259" s="39"/>
      <c r="J259" s="39"/>
      <c r="K259" s="39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" customHeight="1">
      <c r="A260" s="5"/>
      <c r="B260" s="37"/>
      <c r="C260" s="37"/>
      <c r="D260" s="38"/>
      <c r="E260" s="38"/>
      <c r="F260" s="38"/>
      <c r="G260" s="38"/>
      <c r="H260" s="38"/>
      <c r="I260" s="39"/>
      <c r="J260" s="39"/>
      <c r="K260" s="39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" customHeight="1">
      <c r="A261" s="5"/>
      <c r="B261" s="37"/>
      <c r="C261" s="37"/>
      <c r="D261" s="38"/>
      <c r="E261" s="38"/>
      <c r="F261" s="38"/>
      <c r="G261" s="38"/>
      <c r="H261" s="38"/>
      <c r="I261" s="39"/>
      <c r="J261" s="39"/>
      <c r="K261" s="39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" customHeight="1">
      <c r="A262" s="5"/>
      <c r="B262" s="37"/>
      <c r="C262" s="37"/>
      <c r="D262" s="38"/>
      <c r="E262" s="38"/>
      <c r="F262" s="38"/>
      <c r="G262" s="38"/>
      <c r="H262" s="38"/>
      <c r="I262" s="39"/>
      <c r="J262" s="39"/>
      <c r="K262" s="39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" customHeight="1">
      <c r="A263" s="5"/>
      <c r="B263" s="37"/>
      <c r="C263" s="37"/>
      <c r="D263" s="38"/>
      <c r="E263" s="38"/>
      <c r="F263" s="38"/>
      <c r="G263" s="38"/>
      <c r="H263" s="38"/>
      <c r="I263" s="39"/>
      <c r="J263" s="39"/>
      <c r="K263" s="39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" customHeight="1">
      <c r="A264" s="5"/>
      <c r="B264" s="37"/>
      <c r="C264" s="37"/>
      <c r="D264" s="38"/>
      <c r="E264" s="38"/>
      <c r="F264" s="38"/>
      <c r="G264" s="38"/>
      <c r="H264" s="38"/>
      <c r="I264" s="39"/>
      <c r="J264" s="39"/>
      <c r="K264" s="39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" customHeight="1">
      <c r="A265" s="5"/>
      <c r="B265" s="37"/>
      <c r="C265" s="37"/>
      <c r="D265" s="38"/>
      <c r="E265" s="38"/>
      <c r="F265" s="38"/>
      <c r="G265" s="38"/>
      <c r="H265" s="38"/>
      <c r="I265" s="39"/>
      <c r="J265" s="39"/>
      <c r="K265" s="39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" customHeight="1">
      <c r="A266" s="5"/>
      <c r="B266" s="37"/>
      <c r="C266" s="37"/>
      <c r="D266" s="38"/>
      <c r="E266" s="38"/>
      <c r="F266" s="38"/>
      <c r="G266" s="38"/>
      <c r="H266" s="38"/>
      <c r="I266" s="39"/>
      <c r="J266" s="39"/>
      <c r="K266" s="39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" customHeight="1">
      <c r="A267" s="5"/>
      <c r="B267" s="37"/>
      <c r="C267" s="37"/>
      <c r="D267" s="38"/>
      <c r="E267" s="38"/>
      <c r="F267" s="38"/>
      <c r="G267" s="38"/>
      <c r="H267" s="38"/>
      <c r="I267" s="39"/>
      <c r="J267" s="39"/>
      <c r="K267" s="39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" customHeight="1">
      <c r="A268" s="5"/>
      <c r="B268" s="37"/>
      <c r="C268" s="37"/>
      <c r="D268" s="38"/>
      <c r="E268" s="38"/>
      <c r="F268" s="38"/>
      <c r="G268" s="38"/>
      <c r="H268" s="38"/>
      <c r="I268" s="39"/>
      <c r="J268" s="39"/>
      <c r="K268" s="39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" customHeight="1">
      <c r="A269" s="5"/>
      <c r="B269" s="37"/>
      <c r="C269" s="37"/>
      <c r="D269" s="38"/>
      <c r="E269" s="38"/>
      <c r="F269" s="38"/>
      <c r="G269" s="38"/>
      <c r="H269" s="38"/>
      <c r="I269" s="39"/>
      <c r="J269" s="39"/>
      <c r="K269" s="39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" customHeight="1">
      <c r="A270" s="5"/>
      <c r="B270" s="37"/>
      <c r="C270" s="37"/>
      <c r="D270" s="38"/>
      <c r="E270" s="38"/>
      <c r="F270" s="38"/>
      <c r="G270" s="38"/>
      <c r="H270" s="38"/>
      <c r="I270" s="39"/>
      <c r="J270" s="39"/>
      <c r="K270" s="39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" customHeight="1">
      <c r="A271" s="5"/>
      <c r="B271" s="37"/>
      <c r="C271" s="37"/>
      <c r="D271" s="38"/>
      <c r="E271" s="38"/>
      <c r="F271" s="38"/>
      <c r="G271" s="38"/>
      <c r="H271" s="38"/>
      <c r="I271" s="39"/>
      <c r="J271" s="39"/>
      <c r="K271" s="39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" customHeight="1">
      <c r="A272" s="5"/>
      <c r="B272" s="37"/>
      <c r="C272" s="37"/>
      <c r="D272" s="38"/>
      <c r="E272" s="38"/>
      <c r="F272" s="38"/>
      <c r="G272" s="38"/>
      <c r="H272" s="38"/>
      <c r="I272" s="39"/>
      <c r="J272" s="39"/>
      <c r="K272" s="39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" customHeight="1">
      <c r="A273" s="5"/>
      <c r="B273" s="37"/>
      <c r="C273" s="37"/>
      <c r="D273" s="38"/>
      <c r="E273" s="38"/>
      <c r="F273" s="38"/>
      <c r="G273" s="38"/>
      <c r="H273" s="38"/>
      <c r="I273" s="39"/>
      <c r="J273" s="39"/>
      <c r="K273" s="39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" customHeight="1">
      <c r="A274" s="5"/>
      <c r="B274" s="37"/>
      <c r="C274" s="37"/>
      <c r="D274" s="38"/>
      <c r="E274" s="38"/>
      <c r="F274" s="38"/>
      <c r="G274" s="38"/>
      <c r="H274" s="38"/>
      <c r="I274" s="39"/>
      <c r="J274" s="39"/>
      <c r="K274" s="39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" customHeight="1">
      <c r="A275" s="5"/>
      <c r="B275" s="37"/>
      <c r="C275" s="37"/>
      <c r="D275" s="38"/>
      <c r="E275" s="38"/>
      <c r="F275" s="38"/>
      <c r="G275" s="38"/>
      <c r="H275" s="38"/>
      <c r="I275" s="39"/>
      <c r="J275" s="39"/>
      <c r="K275" s="39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" customHeight="1">
      <c r="A276" s="5"/>
      <c r="B276" s="37"/>
      <c r="C276" s="37"/>
      <c r="D276" s="38"/>
      <c r="E276" s="38"/>
      <c r="F276" s="38"/>
      <c r="G276" s="38"/>
      <c r="H276" s="38"/>
      <c r="I276" s="39"/>
      <c r="J276" s="39"/>
      <c r="K276" s="39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" customHeight="1">
      <c r="A277" s="5"/>
      <c r="B277" s="37"/>
      <c r="C277" s="37"/>
      <c r="D277" s="38"/>
      <c r="E277" s="38"/>
      <c r="F277" s="38"/>
      <c r="G277" s="38"/>
      <c r="H277" s="38"/>
      <c r="I277" s="39"/>
      <c r="J277" s="39"/>
      <c r="K277" s="39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" customHeight="1">
      <c r="A278" s="5"/>
      <c r="B278" s="37"/>
      <c r="C278" s="37"/>
      <c r="D278" s="38"/>
      <c r="E278" s="38"/>
      <c r="F278" s="38"/>
      <c r="G278" s="38"/>
      <c r="H278" s="38"/>
      <c r="I278" s="39"/>
      <c r="J278" s="39"/>
      <c r="K278" s="39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" customHeight="1">
      <c r="A279" s="5"/>
      <c r="B279" s="37"/>
      <c r="C279" s="37"/>
      <c r="D279" s="38"/>
      <c r="E279" s="38"/>
      <c r="F279" s="38"/>
      <c r="G279" s="38"/>
      <c r="H279" s="38"/>
      <c r="I279" s="39"/>
      <c r="J279" s="39"/>
      <c r="K279" s="39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" customHeight="1">
      <c r="A280" s="5"/>
      <c r="B280" s="37"/>
      <c r="C280" s="37"/>
      <c r="D280" s="38"/>
      <c r="E280" s="38"/>
      <c r="F280" s="38"/>
      <c r="G280" s="38"/>
      <c r="H280" s="38"/>
      <c r="I280" s="39"/>
      <c r="J280" s="39"/>
      <c r="K280" s="39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" customHeight="1">
      <c r="A281" s="5"/>
      <c r="B281" s="37"/>
      <c r="C281" s="37"/>
      <c r="D281" s="38"/>
      <c r="E281" s="38"/>
      <c r="F281" s="38"/>
      <c r="G281" s="38"/>
      <c r="H281" s="38"/>
      <c r="I281" s="39"/>
      <c r="J281" s="39"/>
      <c r="K281" s="39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" customHeight="1">
      <c r="A282" s="5"/>
      <c r="B282" s="37"/>
      <c r="C282" s="37"/>
      <c r="D282" s="38"/>
      <c r="E282" s="38"/>
      <c r="F282" s="38"/>
      <c r="G282" s="38"/>
      <c r="H282" s="38"/>
      <c r="I282" s="39"/>
      <c r="J282" s="39"/>
      <c r="K282" s="39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" customHeight="1">
      <c r="A283" s="5"/>
      <c r="B283" s="37"/>
      <c r="C283" s="37"/>
      <c r="D283" s="38"/>
      <c r="E283" s="38"/>
      <c r="F283" s="38"/>
      <c r="G283" s="38"/>
      <c r="H283" s="38"/>
      <c r="I283" s="39"/>
      <c r="J283" s="39"/>
      <c r="K283" s="39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" customHeight="1">
      <c r="A284" s="5"/>
      <c r="B284" s="37"/>
      <c r="C284" s="37"/>
      <c r="D284" s="38"/>
      <c r="E284" s="38"/>
      <c r="F284" s="38"/>
      <c r="G284" s="38"/>
      <c r="H284" s="38"/>
      <c r="I284" s="39"/>
      <c r="J284" s="39"/>
      <c r="K284" s="39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" customHeight="1">
      <c r="A285" s="5"/>
      <c r="B285" s="37"/>
      <c r="C285" s="37"/>
      <c r="D285" s="38"/>
      <c r="E285" s="38"/>
      <c r="F285" s="38"/>
      <c r="G285" s="38"/>
      <c r="H285" s="38"/>
      <c r="I285" s="39"/>
      <c r="J285" s="39"/>
      <c r="K285" s="39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" customHeight="1">
      <c r="A286" s="5"/>
      <c r="B286" s="37"/>
      <c r="C286" s="37"/>
      <c r="D286" s="38"/>
      <c r="E286" s="38"/>
      <c r="F286" s="38"/>
      <c r="G286" s="38"/>
      <c r="H286" s="38"/>
      <c r="I286" s="39"/>
      <c r="J286" s="39"/>
      <c r="K286" s="39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" customHeight="1">
      <c r="A287" s="5"/>
      <c r="B287" s="37"/>
      <c r="C287" s="37"/>
      <c r="D287" s="38"/>
      <c r="E287" s="38"/>
      <c r="F287" s="38"/>
      <c r="G287" s="38"/>
      <c r="H287" s="38"/>
      <c r="I287" s="39"/>
      <c r="J287" s="39"/>
      <c r="K287" s="39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" customHeight="1">
      <c r="A288" s="5"/>
      <c r="B288" s="37"/>
      <c r="C288" s="37"/>
      <c r="D288" s="38"/>
      <c r="E288" s="38"/>
      <c r="F288" s="38"/>
      <c r="G288" s="38"/>
      <c r="H288" s="38"/>
      <c r="I288" s="39"/>
      <c r="J288" s="39"/>
      <c r="K288" s="39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" customHeight="1">
      <c r="A289" s="5"/>
      <c r="B289" s="37"/>
      <c r="C289" s="37"/>
      <c r="D289" s="38"/>
      <c r="E289" s="38"/>
      <c r="F289" s="38"/>
      <c r="G289" s="38"/>
      <c r="H289" s="38"/>
      <c r="I289" s="39"/>
      <c r="J289" s="39"/>
      <c r="K289" s="39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" customHeight="1">
      <c r="A290" s="5"/>
      <c r="B290" s="37"/>
      <c r="C290" s="37"/>
      <c r="D290" s="38"/>
      <c r="E290" s="38"/>
      <c r="F290" s="38"/>
      <c r="G290" s="38"/>
      <c r="H290" s="38"/>
      <c r="I290" s="39"/>
      <c r="J290" s="39"/>
      <c r="K290" s="39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" customHeight="1">
      <c r="A291" s="5"/>
      <c r="B291" s="37"/>
      <c r="C291" s="37"/>
      <c r="D291" s="38"/>
      <c r="E291" s="38"/>
      <c r="F291" s="38"/>
      <c r="G291" s="38"/>
      <c r="H291" s="38"/>
      <c r="I291" s="39"/>
      <c r="J291" s="39"/>
      <c r="K291" s="39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" customHeight="1">
      <c r="A292" s="5"/>
      <c r="B292" s="37"/>
      <c r="C292" s="37"/>
      <c r="D292" s="38"/>
      <c r="E292" s="38"/>
      <c r="F292" s="38"/>
      <c r="G292" s="38"/>
      <c r="H292" s="38"/>
      <c r="I292" s="39"/>
      <c r="J292" s="39"/>
      <c r="K292" s="39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" customHeight="1">
      <c r="A293" s="5"/>
      <c r="B293" s="37"/>
      <c r="C293" s="37"/>
      <c r="D293" s="38"/>
      <c r="E293" s="38"/>
      <c r="F293" s="38"/>
      <c r="G293" s="38"/>
      <c r="H293" s="38"/>
      <c r="I293" s="39"/>
      <c r="J293" s="39"/>
      <c r="K293" s="39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" customHeight="1">
      <c r="A294" s="5"/>
      <c r="B294" s="37"/>
      <c r="C294" s="37"/>
      <c r="D294" s="38"/>
      <c r="E294" s="38"/>
      <c r="F294" s="38"/>
      <c r="G294" s="38"/>
      <c r="H294" s="38"/>
      <c r="I294" s="39"/>
      <c r="J294" s="39"/>
      <c r="K294" s="39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" customHeight="1">
      <c r="A295" s="5"/>
      <c r="B295" s="37"/>
      <c r="C295" s="37"/>
      <c r="D295" s="38"/>
      <c r="E295" s="38"/>
      <c r="F295" s="38"/>
      <c r="G295" s="38"/>
      <c r="H295" s="38"/>
      <c r="I295" s="39"/>
      <c r="J295" s="39"/>
      <c r="K295" s="39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" customHeight="1">
      <c r="A296" s="5"/>
      <c r="B296" s="37"/>
      <c r="C296" s="37"/>
      <c r="D296" s="38"/>
      <c r="E296" s="38"/>
      <c r="F296" s="38"/>
      <c r="G296" s="38"/>
      <c r="H296" s="38"/>
      <c r="I296" s="39"/>
      <c r="J296" s="39"/>
      <c r="K296" s="39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" customHeight="1">
      <c r="A297" s="5"/>
      <c r="B297" s="37"/>
      <c r="C297" s="37"/>
      <c r="D297" s="38"/>
      <c r="E297" s="38"/>
      <c r="F297" s="38"/>
      <c r="G297" s="38"/>
      <c r="H297" s="38"/>
      <c r="I297" s="39"/>
      <c r="J297" s="39"/>
      <c r="K297" s="39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" customHeight="1">
      <c r="A298" s="5"/>
      <c r="B298" s="37"/>
      <c r="C298" s="37"/>
      <c r="D298" s="38"/>
      <c r="E298" s="38"/>
      <c r="F298" s="38"/>
      <c r="G298" s="38"/>
      <c r="H298" s="38"/>
      <c r="I298" s="39"/>
      <c r="J298" s="39"/>
      <c r="K298" s="39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" customHeight="1">
      <c r="A299" s="5"/>
      <c r="B299" s="37"/>
      <c r="C299" s="37"/>
      <c r="D299" s="38"/>
      <c r="E299" s="38"/>
      <c r="F299" s="38"/>
      <c r="G299" s="38"/>
      <c r="H299" s="38"/>
      <c r="I299" s="39"/>
      <c r="J299" s="39"/>
      <c r="K299" s="39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" customHeight="1">
      <c r="A300" s="5"/>
      <c r="B300" s="37"/>
      <c r="C300" s="37"/>
      <c r="D300" s="38"/>
      <c r="E300" s="38"/>
      <c r="F300" s="38"/>
      <c r="G300" s="38"/>
      <c r="H300" s="38"/>
      <c r="I300" s="39"/>
      <c r="J300" s="39"/>
      <c r="K300" s="39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" customHeight="1">
      <c r="A301" s="5"/>
      <c r="B301" s="37"/>
      <c r="C301" s="37"/>
      <c r="D301" s="38"/>
      <c r="E301" s="38"/>
      <c r="F301" s="38"/>
      <c r="G301" s="38"/>
      <c r="H301" s="38"/>
      <c r="I301" s="39"/>
      <c r="J301" s="39"/>
      <c r="K301" s="39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" customHeight="1">
      <c r="A302" s="5"/>
      <c r="B302" s="37"/>
      <c r="C302" s="37"/>
      <c r="D302" s="38"/>
      <c r="E302" s="38"/>
      <c r="F302" s="38"/>
      <c r="G302" s="38"/>
      <c r="H302" s="38"/>
      <c r="I302" s="39"/>
      <c r="J302" s="39"/>
      <c r="K302" s="39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" customHeight="1">
      <c r="A303" s="5"/>
      <c r="B303" s="37"/>
      <c r="C303" s="37"/>
      <c r="D303" s="38"/>
      <c r="E303" s="38"/>
      <c r="F303" s="38"/>
      <c r="G303" s="38"/>
      <c r="H303" s="38"/>
      <c r="I303" s="39"/>
      <c r="J303" s="39"/>
      <c r="K303" s="39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" customHeight="1">
      <c r="A304" s="5"/>
      <c r="B304" s="37"/>
      <c r="C304" s="37"/>
      <c r="D304" s="38"/>
      <c r="E304" s="38"/>
      <c r="F304" s="38"/>
      <c r="G304" s="38"/>
      <c r="H304" s="38"/>
      <c r="I304" s="39"/>
      <c r="J304" s="39"/>
      <c r="K304" s="39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" customHeight="1">
      <c r="A305" s="5"/>
      <c r="B305" s="37"/>
      <c r="C305" s="37"/>
      <c r="D305" s="38"/>
      <c r="E305" s="38"/>
      <c r="F305" s="38"/>
      <c r="G305" s="38"/>
      <c r="H305" s="38"/>
      <c r="I305" s="39"/>
      <c r="J305" s="39"/>
      <c r="K305" s="39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" customHeight="1">
      <c r="A306" s="5"/>
      <c r="B306" s="37"/>
      <c r="C306" s="37"/>
      <c r="D306" s="38"/>
      <c r="E306" s="38"/>
      <c r="F306" s="38"/>
      <c r="G306" s="38"/>
      <c r="H306" s="38"/>
      <c r="I306" s="39"/>
      <c r="J306" s="39"/>
      <c r="K306" s="39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" customHeight="1">
      <c r="A307" s="5"/>
      <c r="B307" s="37"/>
      <c r="C307" s="37"/>
      <c r="D307" s="38"/>
      <c r="E307" s="38"/>
      <c r="F307" s="38"/>
      <c r="G307" s="38"/>
      <c r="H307" s="38"/>
      <c r="I307" s="39"/>
      <c r="J307" s="39"/>
      <c r="K307" s="39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" customHeight="1">
      <c r="A308" s="5"/>
      <c r="B308" s="37"/>
      <c r="C308" s="37"/>
      <c r="D308" s="38"/>
      <c r="E308" s="38"/>
      <c r="F308" s="38"/>
      <c r="G308" s="38"/>
      <c r="H308" s="38"/>
      <c r="I308" s="39"/>
      <c r="J308" s="39"/>
      <c r="K308" s="39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" customHeight="1">
      <c r="A309" s="5"/>
      <c r="B309" s="37"/>
      <c r="C309" s="37"/>
      <c r="D309" s="38"/>
      <c r="E309" s="38"/>
      <c r="F309" s="38"/>
      <c r="G309" s="38"/>
      <c r="H309" s="38"/>
      <c r="I309" s="39"/>
      <c r="J309" s="39"/>
      <c r="K309" s="39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" customHeight="1">
      <c r="A310" s="5"/>
      <c r="B310" s="37"/>
      <c r="C310" s="37"/>
      <c r="D310" s="38"/>
      <c r="E310" s="38"/>
      <c r="F310" s="38"/>
      <c r="G310" s="38"/>
      <c r="H310" s="38"/>
      <c r="I310" s="39"/>
      <c r="J310" s="39"/>
      <c r="K310" s="39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" customHeight="1">
      <c r="A311" s="5"/>
      <c r="B311" s="37"/>
      <c r="C311" s="37"/>
      <c r="D311" s="38"/>
      <c r="E311" s="38"/>
      <c r="F311" s="38"/>
      <c r="G311" s="38"/>
      <c r="H311" s="38"/>
      <c r="I311" s="39"/>
      <c r="J311" s="39"/>
      <c r="K311" s="39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" customHeight="1">
      <c r="A312" s="5"/>
      <c r="B312" s="37"/>
      <c r="C312" s="37"/>
      <c r="D312" s="38"/>
      <c r="E312" s="38"/>
      <c r="F312" s="38"/>
      <c r="G312" s="38"/>
      <c r="H312" s="38"/>
      <c r="I312" s="39"/>
      <c r="J312" s="39"/>
      <c r="K312" s="39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" customHeight="1">
      <c r="A313" s="5"/>
      <c r="B313" s="37"/>
      <c r="C313" s="37"/>
      <c r="D313" s="38"/>
      <c r="E313" s="38"/>
      <c r="F313" s="38"/>
      <c r="G313" s="38"/>
      <c r="H313" s="38"/>
      <c r="I313" s="39"/>
      <c r="J313" s="39"/>
      <c r="K313" s="39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" customHeight="1">
      <c r="A314" s="5"/>
      <c r="B314" s="37"/>
      <c r="C314" s="37"/>
      <c r="D314" s="38"/>
      <c r="E314" s="38"/>
      <c r="F314" s="38"/>
      <c r="G314" s="38"/>
      <c r="H314" s="38"/>
      <c r="I314" s="39"/>
      <c r="J314" s="39"/>
      <c r="K314" s="39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" customHeight="1">
      <c r="A315" s="5"/>
      <c r="B315" s="37"/>
      <c r="C315" s="37"/>
      <c r="D315" s="38"/>
      <c r="E315" s="38"/>
      <c r="F315" s="38"/>
      <c r="G315" s="38"/>
      <c r="H315" s="38"/>
      <c r="I315" s="39"/>
      <c r="J315" s="39"/>
      <c r="K315" s="39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" customHeight="1">
      <c r="A316" s="5"/>
      <c r="B316" s="37"/>
      <c r="C316" s="37"/>
      <c r="D316" s="38"/>
      <c r="E316" s="38"/>
      <c r="F316" s="38"/>
      <c r="G316" s="38"/>
      <c r="H316" s="38"/>
      <c r="I316" s="39"/>
      <c r="J316" s="39"/>
      <c r="K316" s="39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" customHeight="1">
      <c r="A317" s="5"/>
      <c r="B317" s="37"/>
      <c r="C317" s="37"/>
      <c r="D317" s="38"/>
      <c r="E317" s="38"/>
      <c r="F317" s="38"/>
      <c r="G317" s="38"/>
      <c r="H317" s="38"/>
      <c r="I317" s="39"/>
      <c r="J317" s="39"/>
      <c r="K317" s="39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" customHeight="1">
      <c r="A318" s="5"/>
      <c r="B318" s="37"/>
      <c r="C318" s="37"/>
      <c r="D318" s="38"/>
      <c r="E318" s="38"/>
      <c r="F318" s="38"/>
      <c r="G318" s="38"/>
      <c r="H318" s="38"/>
      <c r="I318" s="39"/>
      <c r="J318" s="39"/>
      <c r="K318" s="39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" customHeight="1">
      <c r="A319" s="5"/>
      <c r="B319" s="37"/>
      <c r="C319" s="37"/>
      <c r="D319" s="38"/>
      <c r="E319" s="38"/>
      <c r="F319" s="38"/>
      <c r="G319" s="38"/>
      <c r="H319" s="38"/>
      <c r="I319" s="39"/>
      <c r="J319" s="39"/>
      <c r="K319" s="39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" customHeight="1">
      <c r="A320" s="5"/>
      <c r="B320" s="37"/>
      <c r="C320" s="37"/>
      <c r="D320" s="38"/>
      <c r="E320" s="38"/>
      <c r="F320" s="38"/>
      <c r="G320" s="38"/>
      <c r="H320" s="38"/>
      <c r="I320" s="39"/>
      <c r="J320" s="39"/>
      <c r="K320" s="39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" customHeight="1">
      <c r="A321" s="5"/>
      <c r="B321" s="37"/>
      <c r="C321" s="37"/>
      <c r="D321" s="38"/>
      <c r="E321" s="38"/>
      <c r="F321" s="38"/>
      <c r="G321" s="38"/>
      <c r="H321" s="38"/>
      <c r="I321" s="39"/>
      <c r="J321" s="39"/>
      <c r="K321" s="39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" customHeight="1">
      <c r="A322" s="5"/>
      <c r="B322" s="37"/>
      <c r="C322" s="37"/>
      <c r="D322" s="38"/>
      <c r="E322" s="38"/>
      <c r="F322" s="38"/>
      <c r="G322" s="38"/>
      <c r="H322" s="38"/>
      <c r="I322" s="39"/>
      <c r="J322" s="39"/>
      <c r="K322" s="39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" customHeight="1">
      <c r="A323" s="5"/>
      <c r="B323" s="37"/>
      <c r="C323" s="37"/>
      <c r="D323" s="38"/>
      <c r="E323" s="38"/>
      <c r="F323" s="38"/>
      <c r="G323" s="38"/>
      <c r="H323" s="38"/>
      <c r="I323" s="39"/>
      <c r="J323" s="39"/>
      <c r="K323" s="39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" customHeight="1">
      <c r="A324" s="5"/>
      <c r="B324" s="37"/>
      <c r="C324" s="37"/>
      <c r="D324" s="38"/>
      <c r="E324" s="38"/>
      <c r="F324" s="38"/>
      <c r="G324" s="38"/>
      <c r="H324" s="38"/>
      <c r="I324" s="39"/>
      <c r="J324" s="39"/>
      <c r="K324" s="39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" customHeight="1">
      <c r="A325" s="5"/>
      <c r="B325" s="37"/>
      <c r="C325" s="37"/>
      <c r="D325" s="38"/>
      <c r="E325" s="38"/>
      <c r="F325" s="38"/>
      <c r="G325" s="38"/>
      <c r="H325" s="38"/>
      <c r="I325" s="39"/>
      <c r="J325" s="39"/>
      <c r="K325" s="39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" customHeight="1">
      <c r="A326" s="5"/>
      <c r="B326" s="37"/>
      <c r="C326" s="37"/>
      <c r="D326" s="38"/>
      <c r="E326" s="38"/>
      <c r="F326" s="38"/>
      <c r="G326" s="38"/>
      <c r="H326" s="38"/>
      <c r="I326" s="39"/>
      <c r="J326" s="39"/>
      <c r="K326" s="39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" customHeight="1">
      <c r="A327" s="5"/>
      <c r="B327" s="37"/>
      <c r="C327" s="37"/>
      <c r="D327" s="38"/>
      <c r="E327" s="38"/>
      <c r="F327" s="38"/>
      <c r="G327" s="38"/>
      <c r="H327" s="38"/>
      <c r="I327" s="39"/>
      <c r="J327" s="39"/>
      <c r="K327" s="39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" customHeight="1">
      <c r="A328" s="5"/>
      <c r="B328" s="37"/>
      <c r="C328" s="37"/>
      <c r="D328" s="38"/>
      <c r="E328" s="38"/>
      <c r="F328" s="38"/>
      <c r="G328" s="38"/>
      <c r="H328" s="38"/>
      <c r="I328" s="39"/>
      <c r="J328" s="39"/>
      <c r="K328" s="39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" customHeight="1">
      <c r="A329" s="5"/>
      <c r="B329" s="37"/>
      <c r="C329" s="37"/>
      <c r="D329" s="38"/>
      <c r="E329" s="38"/>
      <c r="F329" s="38"/>
      <c r="G329" s="38"/>
      <c r="H329" s="38"/>
      <c r="I329" s="39"/>
      <c r="J329" s="39"/>
      <c r="K329" s="39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" customHeight="1">
      <c r="A330" s="5"/>
      <c r="B330" s="37"/>
      <c r="C330" s="37"/>
      <c r="D330" s="38"/>
      <c r="E330" s="38"/>
      <c r="F330" s="38"/>
      <c r="G330" s="38"/>
      <c r="H330" s="38"/>
      <c r="I330" s="39"/>
      <c r="J330" s="39"/>
      <c r="K330" s="39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" customHeight="1">
      <c r="A331" s="5"/>
      <c r="B331" s="37"/>
      <c r="C331" s="37"/>
      <c r="D331" s="38"/>
      <c r="E331" s="38"/>
      <c r="F331" s="38"/>
      <c r="G331" s="38"/>
      <c r="H331" s="38"/>
      <c r="I331" s="39"/>
      <c r="J331" s="39"/>
      <c r="K331" s="39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" customHeight="1">
      <c r="A332" s="5"/>
      <c r="B332" s="37"/>
      <c r="C332" s="37"/>
      <c r="D332" s="38"/>
      <c r="E332" s="38"/>
      <c r="F332" s="38"/>
      <c r="G332" s="38"/>
      <c r="H332" s="38"/>
      <c r="I332" s="39"/>
      <c r="J332" s="39"/>
      <c r="K332" s="39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" customHeight="1">
      <c r="A333" s="5"/>
      <c r="B333" s="37"/>
      <c r="C333" s="37"/>
      <c r="D333" s="38"/>
      <c r="E333" s="38"/>
      <c r="F333" s="38"/>
      <c r="G333" s="38"/>
      <c r="H333" s="38"/>
      <c r="I333" s="39"/>
      <c r="J333" s="39"/>
      <c r="K333" s="39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" customHeight="1">
      <c r="A334" s="5"/>
      <c r="B334" s="37"/>
      <c r="C334" s="37"/>
      <c r="D334" s="38"/>
      <c r="E334" s="38"/>
      <c r="F334" s="38"/>
      <c r="G334" s="38"/>
      <c r="H334" s="38"/>
      <c r="I334" s="39"/>
      <c r="J334" s="39"/>
      <c r="K334" s="39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" customHeight="1">
      <c r="A335" s="5"/>
      <c r="B335" s="37"/>
      <c r="C335" s="37"/>
      <c r="D335" s="38"/>
      <c r="E335" s="38"/>
      <c r="F335" s="38"/>
      <c r="G335" s="38"/>
      <c r="H335" s="38"/>
      <c r="I335" s="39"/>
      <c r="J335" s="39"/>
      <c r="K335" s="39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" customHeight="1">
      <c r="A336" s="5"/>
      <c r="B336" s="37"/>
      <c r="C336" s="37"/>
      <c r="D336" s="38"/>
      <c r="E336" s="38"/>
      <c r="F336" s="38"/>
      <c r="G336" s="38"/>
      <c r="H336" s="38"/>
      <c r="I336" s="39"/>
      <c r="J336" s="39"/>
      <c r="K336" s="39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" customHeight="1">
      <c r="A337" s="5"/>
      <c r="B337" s="37"/>
      <c r="C337" s="37"/>
      <c r="D337" s="38"/>
      <c r="E337" s="38"/>
      <c r="F337" s="38"/>
      <c r="G337" s="38"/>
      <c r="H337" s="38"/>
      <c r="I337" s="39"/>
      <c r="J337" s="39"/>
      <c r="K337" s="39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" customHeight="1">
      <c r="A338" s="5"/>
      <c r="B338" s="37"/>
      <c r="C338" s="37"/>
      <c r="D338" s="38"/>
      <c r="E338" s="38"/>
      <c r="F338" s="38"/>
      <c r="G338" s="38"/>
      <c r="H338" s="38"/>
      <c r="I338" s="39"/>
      <c r="J338" s="39"/>
      <c r="K338" s="39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" customHeight="1">
      <c r="A339" s="5"/>
      <c r="B339" s="37"/>
      <c r="C339" s="37"/>
      <c r="D339" s="38"/>
      <c r="E339" s="38"/>
      <c r="F339" s="38"/>
      <c r="G339" s="38"/>
      <c r="H339" s="38"/>
      <c r="I339" s="39"/>
      <c r="J339" s="39"/>
      <c r="K339" s="39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" customHeight="1">
      <c r="A340" s="5"/>
      <c r="B340" s="37"/>
      <c r="C340" s="37"/>
      <c r="D340" s="38"/>
      <c r="E340" s="38"/>
      <c r="F340" s="38"/>
      <c r="G340" s="38"/>
      <c r="H340" s="38"/>
      <c r="I340" s="39"/>
      <c r="J340" s="39"/>
      <c r="K340" s="39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" customHeight="1">
      <c r="A341" s="5"/>
      <c r="B341" s="37"/>
      <c r="C341" s="37"/>
      <c r="D341" s="38"/>
      <c r="E341" s="38"/>
      <c r="F341" s="38"/>
      <c r="G341" s="38"/>
      <c r="H341" s="38"/>
      <c r="I341" s="39"/>
      <c r="J341" s="39"/>
      <c r="K341" s="39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" customHeight="1">
      <c r="A342" s="5"/>
      <c r="B342" s="37"/>
      <c r="C342" s="37"/>
      <c r="D342" s="38"/>
      <c r="E342" s="38"/>
      <c r="F342" s="38"/>
      <c r="G342" s="38"/>
      <c r="H342" s="38"/>
      <c r="I342" s="39"/>
      <c r="J342" s="39"/>
      <c r="K342" s="39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" customHeight="1">
      <c r="A343" s="5"/>
      <c r="B343" s="37"/>
      <c r="C343" s="37"/>
      <c r="D343" s="38"/>
      <c r="E343" s="38"/>
      <c r="F343" s="38"/>
      <c r="G343" s="38"/>
      <c r="H343" s="38"/>
      <c r="I343" s="39"/>
      <c r="J343" s="39"/>
      <c r="K343" s="39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" customHeight="1">
      <c r="A344" s="5"/>
      <c r="B344" s="37"/>
      <c r="C344" s="37"/>
      <c r="D344" s="38"/>
      <c r="E344" s="38"/>
      <c r="F344" s="38"/>
      <c r="G344" s="38"/>
      <c r="H344" s="38"/>
      <c r="I344" s="39"/>
      <c r="J344" s="39"/>
      <c r="K344" s="39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" customHeight="1">
      <c r="A345" s="5"/>
      <c r="B345" s="37"/>
      <c r="C345" s="37"/>
      <c r="D345" s="38"/>
      <c r="E345" s="38"/>
      <c r="F345" s="38"/>
      <c r="G345" s="38"/>
      <c r="H345" s="38"/>
      <c r="I345" s="39"/>
      <c r="J345" s="39"/>
      <c r="K345" s="39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" customHeight="1">
      <c r="A346" s="5"/>
      <c r="B346" s="37"/>
      <c r="C346" s="37"/>
      <c r="D346" s="38"/>
      <c r="E346" s="38"/>
      <c r="F346" s="38"/>
      <c r="G346" s="38"/>
      <c r="H346" s="38"/>
      <c r="I346" s="39"/>
      <c r="J346" s="39"/>
      <c r="K346" s="39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" customHeight="1">
      <c r="A347" s="5"/>
      <c r="B347" s="37"/>
      <c r="C347" s="37"/>
      <c r="D347" s="38"/>
      <c r="E347" s="38"/>
      <c r="F347" s="38"/>
      <c r="G347" s="38"/>
      <c r="H347" s="38"/>
      <c r="I347" s="39"/>
      <c r="J347" s="39"/>
      <c r="K347" s="39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" customHeight="1">
      <c r="A348" s="5"/>
      <c r="B348" s="37"/>
      <c r="C348" s="37"/>
      <c r="D348" s="38"/>
      <c r="E348" s="38"/>
      <c r="F348" s="38"/>
      <c r="G348" s="38"/>
      <c r="H348" s="38"/>
      <c r="I348" s="39"/>
      <c r="J348" s="39"/>
      <c r="K348" s="39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" customHeight="1">
      <c r="A349" s="5"/>
      <c r="B349" s="37"/>
      <c r="C349" s="37"/>
      <c r="D349" s="38"/>
      <c r="E349" s="38"/>
      <c r="F349" s="38"/>
      <c r="G349" s="38"/>
      <c r="H349" s="38"/>
      <c r="I349" s="39"/>
      <c r="J349" s="39"/>
      <c r="K349" s="39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" customHeight="1">
      <c r="A350" s="5"/>
      <c r="B350" s="37"/>
      <c r="C350" s="37"/>
      <c r="D350" s="38"/>
      <c r="E350" s="38"/>
      <c r="F350" s="38"/>
      <c r="G350" s="38"/>
      <c r="H350" s="38"/>
      <c r="I350" s="39"/>
      <c r="J350" s="39"/>
      <c r="K350" s="39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" customHeight="1">
      <c r="A351" s="5"/>
      <c r="B351" s="37"/>
      <c r="C351" s="37"/>
      <c r="D351" s="38"/>
      <c r="E351" s="38"/>
      <c r="F351" s="38"/>
      <c r="G351" s="38"/>
      <c r="H351" s="38"/>
      <c r="I351" s="39"/>
      <c r="J351" s="39"/>
      <c r="K351" s="39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" customHeight="1">
      <c r="A352" s="5"/>
      <c r="B352" s="37"/>
      <c r="C352" s="37"/>
      <c r="D352" s="38"/>
      <c r="E352" s="38"/>
      <c r="F352" s="38"/>
      <c r="G352" s="38"/>
      <c r="H352" s="38"/>
      <c r="I352" s="39"/>
      <c r="J352" s="39"/>
      <c r="K352" s="39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" customHeight="1">
      <c r="A353" s="5"/>
      <c r="B353" s="37"/>
      <c r="C353" s="37"/>
      <c r="D353" s="38"/>
      <c r="E353" s="38"/>
      <c r="F353" s="38"/>
      <c r="G353" s="38"/>
      <c r="H353" s="38"/>
      <c r="I353" s="39"/>
      <c r="J353" s="39"/>
      <c r="K353" s="39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" customHeight="1">
      <c r="A354" s="5"/>
      <c r="B354" s="37"/>
      <c r="C354" s="37"/>
      <c r="D354" s="38"/>
      <c r="E354" s="38"/>
      <c r="F354" s="38"/>
      <c r="G354" s="38"/>
      <c r="H354" s="38"/>
      <c r="I354" s="39"/>
      <c r="J354" s="39"/>
      <c r="K354" s="39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" customHeight="1">
      <c r="A355" s="5"/>
      <c r="B355" s="37"/>
      <c r="C355" s="37"/>
      <c r="D355" s="38"/>
      <c r="E355" s="38"/>
      <c r="F355" s="38"/>
      <c r="G355" s="38"/>
      <c r="H355" s="38"/>
      <c r="I355" s="39"/>
      <c r="J355" s="39"/>
      <c r="K355" s="39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" customHeight="1">
      <c r="A356" s="5"/>
      <c r="B356" s="37"/>
      <c r="C356" s="37"/>
      <c r="D356" s="38"/>
      <c r="E356" s="38"/>
      <c r="F356" s="38"/>
      <c r="G356" s="38"/>
      <c r="H356" s="38"/>
      <c r="I356" s="39"/>
      <c r="J356" s="39"/>
      <c r="K356" s="39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" customHeight="1">
      <c r="A357" s="5"/>
      <c r="B357" s="37"/>
      <c r="C357" s="37"/>
      <c r="D357" s="38"/>
      <c r="E357" s="38"/>
      <c r="F357" s="38"/>
      <c r="G357" s="38"/>
      <c r="H357" s="38"/>
      <c r="I357" s="39"/>
      <c r="J357" s="39"/>
      <c r="K357" s="39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" customHeight="1">
      <c r="A358" s="5"/>
      <c r="B358" s="37"/>
      <c r="C358" s="37"/>
      <c r="D358" s="38"/>
      <c r="E358" s="38"/>
      <c r="F358" s="38"/>
      <c r="G358" s="38"/>
      <c r="H358" s="38"/>
      <c r="I358" s="39"/>
      <c r="J358" s="39"/>
      <c r="K358" s="39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" customHeight="1">
      <c r="A359" s="5"/>
      <c r="B359" s="37"/>
      <c r="C359" s="37"/>
      <c r="D359" s="38"/>
      <c r="E359" s="38"/>
      <c r="F359" s="38"/>
      <c r="G359" s="38"/>
      <c r="H359" s="38"/>
      <c r="I359" s="39"/>
      <c r="J359" s="39"/>
      <c r="K359" s="39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" customHeight="1">
      <c r="A360" s="5"/>
      <c r="B360" s="37"/>
      <c r="C360" s="37"/>
      <c r="D360" s="38"/>
      <c r="E360" s="38"/>
      <c r="F360" s="38"/>
      <c r="G360" s="38"/>
      <c r="H360" s="38"/>
      <c r="I360" s="39"/>
      <c r="J360" s="39"/>
      <c r="K360" s="39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" customHeight="1">
      <c r="A361" s="5"/>
      <c r="B361" s="37"/>
      <c r="C361" s="37"/>
      <c r="D361" s="38"/>
      <c r="E361" s="38"/>
      <c r="F361" s="38"/>
      <c r="G361" s="38"/>
      <c r="H361" s="38"/>
      <c r="I361" s="39"/>
      <c r="J361" s="39"/>
      <c r="K361" s="39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" customHeight="1">
      <c r="A362" s="5"/>
      <c r="B362" s="37"/>
      <c r="C362" s="37"/>
      <c r="D362" s="38"/>
      <c r="E362" s="38"/>
      <c r="F362" s="38"/>
      <c r="G362" s="38"/>
      <c r="H362" s="38"/>
      <c r="I362" s="39"/>
      <c r="J362" s="39"/>
      <c r="K362" s="39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" customHeight="1">
      <c r="A363" s="5"/>
      <c r="B363" s="37"/>
      <c r="C363" s="37"/>
      <c r="D363" s="38"/>
      <c r="E363" s="38"/>
      <c r="F363" s="38"/>
      <c r="G363" s="38"/>
      <c r="H363" s="38"/>
      <c r="I363" s="39"/>
      <c r="J363" s="39"/>
      <c r="K363" s="39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" customHeight="1">
      <c r="A364" s="5"/>
      <c r="B364" s="37"/>
      <c r="C364" s="37"/>
      <c r="D364" s="38"/>
      <c r="E364" s="38"/>
      <c r="F364" s="38"/>
      <c r="G364" s="38"/>
      <c r="H364" s="38"/>
      <c r="I364" s="39"/>
      <c r="J364" s="39"/>
      <c r="K364" s="39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" customHeight="1">
      <c r="A365" s="5"/>
      <c r="B365" s="37"/>
      <c r="C365" s="37"/>
      <c r="D365" s="38"/>
      <c r="E365" s="38"/>
      <c r="F365" s="38"/>
      <c r="G365" s="38"/>
      <c r="H365" s="38"/>
      <c r="I365" s="39"/>
      <c r="J365" s="39"/>
      <c r="K365" s="39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" customHeight="1">
      <c r="A366" s="5"/>
      <c r="B366" s="37"/>
      <c r="C366" s="37"/>
      <c r="D366" s="38"/>
      <c r="E366" s="38"/>
      <c r="F366" s="38"/>
      <c r="G366" s="38"/>
      <c r="H366" s="38"/>
      <c r="I366" s="39"/>
      <c r="J366" s="39"/>
      <c r="K366" s="39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" customHeight="1">
      <c r="A367" s="5"/>
      <c r="B367" s="37"/>
      <c r="C367" s="37"/>
      <c r="D367" s="38"/>
      <c r="E367" s="38"/>
      <c r="F367" s="38"/>
      <c r="G367" s="38"/>
      <c r="H367" s="38"/>
      <c r="I367" s="39"/>
      <c r="J367" s="39"/>
      <c r="K367" s="39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" customHeight="1">
      <c r="A368" s="5"/>
      <c r="B368" s="37"/>
      <c r="C368" s="37"/>
      <c r="D368" s="38"/>
      <c r="E368" s="38"/>
      <c r="F368" s="38"/>
      <c r="G368" s="38"/>
      <c r="H368" s="38"/>
      <c r="I368" s="39"/>
      <c r="J368" s="39"/>
      <c r="K368" s="39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" customHeight="1">
      <c r="A369" s="5"/>
      <c r="B369" s="37"/>
      <c r="C369" s="37"/>
      <c r="D369" s="38"/>
      <c r="E369" s="38"/>
      <c r="F369" s="38"/>
      <c r="G369" s="38"/>
      <c r="H369" s="38"/>
      <c r="I369" s="39"/>
      <c r="J369" s="39"/>
      <c r="K369" s="39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" customHeight="1">
      <c r="A370" s="5"/>
      <c r="B370" s="37"/>
      <c r="C370" s="37"/>
      <c r="D370" s="38"/>
      <c r="E370" s="38"/>
      <c r="F370" s="38"/>
      <c r="G370" s="38"/>
      <c r="H370" s="38"/>
      <c r="I370" s="39"/>
      <c r="J370" s="39"/>
      <c r="K370" s="39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" customHeight="1">
      <c r="A371" s="5"/>
      <c r="B371" s="37"/>
      <c r="C371" s="37"/>
      <c r="D371" s="38"/>
      <c r="E371" s="38"/>
      <c r="F371" s="38"/>
      <c r="G371" s="38"/>
      <c r="H371" s="38"/>
      <c r="I371" s="39"/>
      <c r="J371" s="39"/>
      <c r="K371" s="39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" customHeight="1">
      <c r="A372" s="5"/>
      <c r="B372" s="37"/>
      <c r="C372" s="37"/>
      <c r="D372" s="38"/>
      <c r="E372" s="38"/>
      <c r="F372" s="38"/>
      <c r="G372" s="38"/>
      <c r="H372" s="38"/>
      <c r="I372" s="39"/>
      <c r="J372" s="39"/>
      <c r="K372" s="39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" customHeight="1">
      <c r="A373" s="5"/>
      <c r="B373" s="37"/>
      <c r="C373" s="37"/>
      <c r="D373" s="38"/>
      <c r="E373" s="38"/>
      <c r="F373" s="38"/>
      <c r="G373" s="38"/>
      <c r="H373" s="38"/>
      <c r="I373" s="39"/>
      <c r="J373" s="39"/>
      <c r="K373" s="39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" customHeight="1">
      <c r="A374" s="5"/>
      <c r="B374" s="37"/>
      <c r="C374" s="37"/>
      <c r="D374" s="38"/>
      <c r="E374" s="38"/>
      <c r="F374" s="38"/>
      <c r="G374" s="38"/>
      <c r="H374" s="38"/>
      <c r="I374" s="39"/>
      <c r="J374" s="39"/>
      <c r="K374" s="39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" customHeight="1">
      <c r="A375" s="5"/>
      <c r="B375" s="37"/>
      <c r="C375" s="37"/>
      <c r="D375" s="38"/>
      <c r="E375" s="38"/>
      <c r="F375" s="38"/>
      <c r="G375" s="38"/>
      <c r="H375" s="38"/>
      <c r="I375" s="39"/>
      <c r="J375" s="39"/>
      <c r="K375" s="39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" customHeight="1">
      <c r="A376" s="5"/>
      <c r="B376" s="37"/>
      <c r="C376" s="37"/>
      <c r="D376" s="38"/>
      <c r="E376" s="38"/>
      <c r="F376" s="38"/>
      <c r="G376" s="38"/>
      <c r="H376" s="38"/>
      <c r="I376" s="39"/>
      <c r="J376" s="39"/>
      <c r="K376" s="39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" customHeight="1">
      <c r="A377" s="5"/>
      <c r="B377" s="37"/>
      <c r="C377" s="37"/>
      <c r="D377" s="38"/>
      <c r="E377" s="38"/>
      <c r="F377" s="38"/>
      <c r="G377" s="38"/>
      <c r="H377" s="38"/>
      <c r="I377" s="39"/>
      <c r="J377" s="39"/>
      <c r="K377" s="39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" customHeight="1">
      <c r="A378" s="5"/>
      <c r="B378" s="37"/>
      <c r="C378" s="37"/>
      <c r="D378" s="38"/>
      <c r="E378" s="38"/>
      <c r="F378" s="38"/>
      <c r="G378" s="38"/>
      <c r="H378" s="38"/>
      <c r="I378" s="39"/>
      <c r="J378" s="39"/>
      <c r="K378" s="39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" customHeight="1">
      <c r="A379" s="5"/>
      <c r="B379" s="37"/>
      <c r="C379" s="37"/>
      <c r="D379" s="38"/>
      <c r="E379" s="38"/>
      <c r="F379" s="38"/>
      <c r="G379" s="38"/>
      <c r="H379" s="38"/>
      <c r="I379" s="39"/>
      <c r="J379" s="39"/>
      <c r="K379" s="39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" customHeight="1">
      <c r="A380" s="5"/>
      <c r="B380" s="37"/>
      <c r="C380" s="37"/>
      <c r="D380" s="38"/>
      <c r="E380" s="38"/>
      <c r="F380" s="38"/>
      <c r="G380" s="38"/>
      <c r="H380" s="38"/>
      <c r="I380" s="39"/>
      <c r="J380" s="39"/>
      <c r="K380" s="39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" customHeight="1">
      <c r="A381" s="5"/>
      <c r="B381" s="37"/>
      <c r="C381" s="37"/>
      <c r="D381" s="38"/>
      <c r="E381" s="38"/>
      <c r="F381" s="38"/>
      <c r="G381" s="38"/>
      <c r="H381" s="38"/>
      <c r="I381" s="39"/>
      <c r="J381" s="39"/>
      <c r="K381" s="39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" customHeight="1">
      <c r="A382" s="5"/>
      <c r="B382" s="37"/>
      <c r="C382" s="37"/>
      <c r="D382" s="38"/>
      <c r="E382" s="38"/>
      <c r="F382" s="38"/>
      <c r="G382" s="38"/>
      <c r="H382" s="38"/>
      <c r="I382" s="39"/>
      <c r="J382" s="39"/>
      <c r="K382" s="39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" customHeight="1">
      <c r="A383" s="5"/>
      <c r="B383" s="37"/>
      <c r="C383" s="37"/>
      <c r="D383" s="38"/>
      <c r="E383" s="38"/>
      <c r="F383" s="38"/>
      <c r="G383" s="38"/>
      <c r="H383" s="38"/>
      <c r="I383" s="39"/>
      <c r="J383" s="39"/>
      <c r="K383" s="39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" customHeight="1">
      <c r="A384" s="5"/>
      <c r="B384" s="37"/>
      <c r="C384" s="37"/>
      <c r="D384" s="38"/>
      <c r="E384" s="38"/>
      <c r="F384" s="38"/>
      <c r="G384" s="38"/>
      <c r="H384" s="38"/>
      <c r="I384" s="39"/>
      <c r="J384" s="39"/>
      <c r="K384" s="39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" customHeight="1">
      <c r="A385" s="5"/>
      <c r="B385" s="37"/>
      <c r="C385" s="37"/>
      <c r="D385" s="38"/>
      <c r="E385" s="38"/>
      <c r="F385" s="38"/>
      <c r="G385" s="38"/>
      <c r="H385" s="38"/>
      <c r="I385" s="39"/>
      <c r="J385" s="39"/>
      <c r="K385" s="39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" customHeight="1">
      <c r="A386" s="5"/>
      <c r="B386" s="37"/>
      <c r="C386" s="37"/>
      <c r="D386" s="38"/>
      <c r="E386" s="38"/>
      <c r="F386" s="38"/>
      <c r="G386" s="38"/>
      <c r="H386" s="38"/>
      <c r="I386" s="39"/>
      <c r="J386" s="39"/>
      <c r="K386" s="39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" customHeight="1">
      <c r="A387" s="5"/>
      <c r="B387" s="37"/>
      <c r="C387" s="37"/>
      <c r="D387" s="38"/>
      <c r="E387" s="38"/>
      <c r="F387" s="38"/>
      <c r="G387" s="38"/>
      <c r="H387" s="38"/>
      <c r="I387" s="39"/>
      <c r="J387" s="39"/>
      <c r="K387" s="39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" customHeight="1">
      <c r="A388" s="5"/>
      <c r="B388" s="37"/>
      <c r="C388" s="37"/>
      <c r="D388" s="38"/>
      <c r="E388" s="38"/>
      <c r="F388" s="38"/>
      <c r="G388" s="38"/>
      <c r="H388" s="38"/>
      <c r="I388" s="39"/>
      <c r="J388" s="39"/>
      <c r="K388" s="39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" customHeight="1">
      <c r="A389" s="5"/>
      <c r="B389" s="37"/>
      <c r="C389" s="37"/>
      <c r="D389" s="38"/>
      <c r="E389" s="38"/>
      <c r="F389" s="38"/>
      <c r="G389" s="38"/>
      <c r="H389" s="38"/>
      <c r="I389" s="39"/>
      <c r="J389" s="39"/>
      <c r="K389" s="39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" customHeight="1">
      <c r="A390" s="5"/>
      <c r="B390" s="37"/>
      <c r="C390" s="37"/>
      <c r="D390" s="38"/>
      <c r="E390" s="38"/>
      <c r="F390" s="38"/>
      <c r="G390" s="38"/>
      <c r="H390" s="38"/>
      <c r="I390" s="39"/>
      <c r="J390" s="39"/>
      <c r="K390" s="39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" customHeight="1">
      <c r="A391" s="5"/>
      <c r="B391" s="37"/>
      <c r="C391" s="37"/>
      <c r="D391" s="38"/>
      <c r="E391" s="38"/>
      <c r="F391" s="38"/>
      <c r="G391" s="38"/>
      <c r="H391" s="38"/>
      <c r="I391" s="39"/>
      <c r="J391" s="39"/>
      <c r="K391" s="39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" customHeight="1">
      <c r="A392" s="5"/>
      <c r="B392" s="37"/>
      <c r="C392" s="37"/>
      <c r="D392" s="38"/>
      <c r="E392" s="38"/>
      <c r="F392" s="38"/>
      <c r="G392" s="38"/>
      <c r="H392" s="38"/>
      <c r="I392" s="39"/>
      <c r="J392" s="39"/>
      <c r="K392" s="39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" customHeight="1">
      <c r="A393" s="5"/>
      <c r="B393" s="37"/>
      <c r="C393" s="37"/>
      <c r="D393" s="38"/>
      <c r="E393" s="38"/>
      <c r="F393" s="38"/>
      <c r="G393" s="38"/>
      <c r="H393" s="38"/>
      <c r="I393" s="39"/>
      <c r="J393" s="39"/>
      <c r="K393" s="39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" customHeight="1">
      <c r="A394" s="5"/>
      <c r="B394" s="37"/>
      <c r="C394" s="37"/>
      <c r="D394" s="38"/>
      <c r="E394" s="38"/>
      <c r="F394" s="38"/>
      <c r="G394" s="38"/>
      <c r="H394" s="38"/>
      <c r="I394" s="39"/>
      <c r="J394" s="39"/>
      <c r="K394" s="39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" customHeight="1">
      <c r="A395" s="5"/>
      <c r="B395" s="37"/>
      <c r="C395" s="37"/>
      <c r="D395" s="38"/>
      <c r="E395" s="38"/>
      <c r="F395" s="38"/>
      <c r="G395" s="38"/>
      <c r="H395" s="38"/>
      <c r="I395" s="39"/>
      <c r="J395" s="39"/>
      <c r="K395" s="39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" customHeight="1">
      <c r="A396" s="5"/>
      <c r="B396" s="37"/>
      <c r="C396" s="37"/>
      <c r="D396" s="38"/>
      <c r="E396" s="38"/>
      <c r="F396" s="38"/>
      <c r="G396" s="38"/>
      <c r="H396" s="38"/>
      <c r="I396" s="39"/>
      <c r="J396" s="39"/>
      <c r="K396" s="39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" customHeight="1">
      <c r="A397" s="5"/>
      <c r="B397" s="37"/>
      <c r="C397" s="37"/>
      <c r="D397" s="38"/>
      <c r="E397" s="38"/>
      <c r="F397" s="38"/>
      <c r="G397" s="38"/>
      <c r="H397" s="38"/>
      <c r="I397" s="39"/>
      <c r="J397" s="39"/>
      <c r="K397" s="39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" customHeight="1">
      <c r="A398" s="5"/>
      <c r="B398" s="37"/>
      <c r="C398" s="37"/>
      <c r="D398" s="38"/>
      <c r="E398" s="38"/>
      <c r="F398" s="38"/>
      <c r="G398" s="38"/>
      <c r="H398" s="38"/>
      <c r="I398" s="39"/>
      <c r="J398" s="39"/>
      <c r="K398" s="39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" customHeight="1">
      <c r="A399" s="5"/>
      <c r="B399" s="37"/>
      <c r="C399" s="37"/>
      <c r="D399" s="38"/>
      <c r="E399" s="38"/>
      <c r="F399" s="38"/>
      <c r="G399" s="38"/>
      <c r="H399" s="38"/>
      <c r="I399" s="39"/>
      <c r="J399" s="39"/>
      <c r="K399" s="39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" customHeight="1">
      <c r="A400" s="5"/>
      <c r="B400" s="37"/>
      <c r="C400" s="37"/>
      <c r="D400" s="38"/>
      <c r="E400" s="38"/>
      <c r="F400" s="38"/>
      <c r="G400" s="38"/>
      <c r="H400" s="38"/>
      <c r="I400" s="39"/>
      <c r="J400" s="39"/>
      <c r="K400" s="39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" customHeight="1">
      <c r="A401" s="5"/>
      <c r="B401" s="37"/>
      <c r="C401" s="37"/>
      <c r="D401" s="38"/>
      <c r="E401" s="38"/>
      <c r="F401" s="38"/>
      <c r="G401" s="38"/>
      <c r="H401" s="38"/>
      <c r="I401" s="39"/>
      <c r="J401" s="39"/>
      <c r="K401" s="39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" customHeight="1">
      <c r="A402" s="5"/>
      <c r="B402" s="37"/>
      <c r="C402" s="37"/>
      <c r="D402" s="38"/>
      <c r="E402" s="38"/>
      <c r="F402" s="38"/>
      <c r="G402" s="38"/>
      <c r="H402" s="38"/>
      <c r="I402" s="39"/>
      <c r="J402" s="39"/>
      <c r="K402" s="39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" customHeight="1">
      <c r="A403" s="5"/>
      <c r="B403" s="37"/>
      <c r="C403" s="37"/>
      <c r="D403" s="38"/>
      <c r="E403" s="38"/>
      <c r="F403" s="38"/>
      <c r="G403" s="38"/>
      <c r="H403" s="38"/>
      <c r="I403" s="39"/>
      <c r="J403" s="39"/>
      <c r="K403" s="39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" customHeight="1">
      <c r="A404" s="5"/>
      <c r="B404" s="37"/>
      <c r="C404" s="37"/>
      <c r="D404" s="38"/>
      <c r="E404" s="38"/>
      <c r="F404" s="38"/>
      <c r="G404" s="38"/>
      <c r="H404" s="38"/>
      <c r="I404" s="39"/>
      <c r="J404" s="39"/>
      <c r="K404" s="39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" customHeight="1">
      <c r="A405" s="5"/>
      <c r="B405" s="37"/>
      <c r="C405" s="37"/>
      <c r="D405" s="38"/>
      <c r="E405" s="38"/>
      <c r="F405" s="38"/>
      <c r="G405" s="38"/>
      <c r="H405" s="38"/>
      <c r="I405" s="39"/>
      <c r="J405" s="39"/>
      <c r="K405" s="39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" customHeight="1">
      <c r="A406" s="5"/>
      <c r="B406" s="37"/>
      <c r="C406" s="37"/>
      <c r="D406" s="38"/>
      <c r="E406" s="38"/>
      <c r="F406" s="38"/>
      <c r="G406" s="38"/>
      <c r="H406" s="38"/>
      <c r="I406" s="39"/>
      <c r="J406" s="39"/>
      <c r="K406" s="39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" customHeight="1">
      <c r="A407" s="5"/>
      <c r="B407" s="37"/>
      <c r="C407" s="37"/>
      <c r="D407" s="38"/>
      <c r="E407" s="38"/>
      <c r="F407" s="38"/>
      <c r="G407" s="38"/>
      <c r="H407" s="38"/>
      <c r="I407" s="39"/>
      <c r="J407" s="39"/>
      <c r="K407" s="39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" customHeight="1">
      <c r="A408" s="5"/>
      <c r="B408" s="37"/>
      <c r="C408" s="37"/>
      <c r="D408" s="38"/>
      <c r="E408" s="38"/>
      <c r="F408" s="38"/>
      <c r="G408" s="38"/>
      <c r="H408" s="38"/>
      <c r="I408" s="39"/>
      <c r="J408" s="39"/>
      <c r="K408" s="39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" customHeight="1">
      <c r="A409" s="5"/>
      <c r="B409" s="37"/>
      <c r="C409" s="37"/>
      <c r="D409" s="38"/>
      <c r="E409" s="38"/>
      <c r="F409" s="38"/>
      <c r="G409" s="38"/>
      <c r="H409" s="38"/>
      <c r="I409" s="39"/>
      <c r="J409" s="39"/>
      <c r="K409" s="39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" customHeight="1">
      <c r="A410" s="5"/>
      <c r="B410" s="37"/>
      <c r="C410" s="37"/>
      <c r="D410" s="38"/>
      <c r="E410" s="38"/>
      <c r="F410" s="38"/>
      <c r="G410" s="38"/>
      <c r="H410" s="38"/>
      <c r="I410" s="39"/>
      <c r="J410" s="39"/>
      <c r="K410" s="39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" customHeight="1">
      <c r="A411" s="5"/>
      <c r="B411" s="37"/>
      <c r="C411" s="37"/>
      <c r="D411" s="38"/>
      <c r="E411" s="38"/>
      <c r="F411" s="38"/>
      <c r="G411" s="38"/>
      <c r="H411" s="38"/>
      <c r="I411" s="39"/>
      <c r="J411" s="39"/>
      <c r="K411" s="39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" customHeight="1">
      <c r="A412" s="5"/>
      <c r="B412" s="37"/>
      <c r="C412" s="37"/>
      <c r="D412" s="38"/>
      <c r="E412" s="38"/>
      <c r="F412" s="38"/>
      <c r="G412" s="38"/>
      <c r="H412" s="38"/>
      <c r="I412" s="39"/>
      <c r="J412" s="39"/>
      <c r="K412" s="39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" customHeight="1">
      <c r="A413" s="5"/>
      <c r="B413" s="37"/>
      <c r="C413" s="37"/>
      <c r="D413" s="38"/>
      <c r="E413" s="38"/>
      <c r="F413" s="38"/>
      <c r="G413" s="38"/>
      <c r="H413" s="38"/>
      <c r="I413" s="39"/>
      <c r="J413" s="39"/>
      <c r="K413" s="39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" customHeight="1">
      <c r="A414" s="5"/>
      <c r="B414" s="37"/>
      <c r="C414" s="37"/>
      <c r="D414" s="38"/>
      <c r="E414" s="38"/>
      <c r="F414" s="38"/>
      <c r="G414" s="38"/>
      <c r="H414" s="38"/>
      <c r="I414" s="39"/>
      <c r="J414" s="39"/>
      <c r="K414" s="39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" customHeight="1">
      <c r="A415" s="5"/>
      <c r="B415" s="37"/>
      <c r="C415" s="37"/>
      <c r="D415" s="38"/>
      <c r="E415" s="38"/>
      <c r="F415" s="38"/>
      <c r="G415" s="38"/>
      <c r="H415" s="38"/>
      <c r="I415" s="39"/>
      <c r="J415" s="39"/>
      <c r="K415" s="39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" customHeight="1">
      <c r="A416" s="5"/>
      <c r="B416" s="37"/>
      <c r="C416" s="37"/>
      <c r="D416" s="38"/>
      <c r="E416" s="38"/>
      <c r="F416" s="38"/>
      <c r="G416" s="38"/>
      <c r="H416" s="38"/>
      <c r="I416" s="39"/>
      <c r="J416" s="39"/>
      <c r="K416" s="39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" customHeight="1">
      <c r="A417" s="5"/>
      <c r="B417" s="37"/>
      <c r="C417" s="37"/>
      <c r="D417" s="38"/>
      <c r="E417" s="38"/>
      <c r="F417" s="38"/>
      <c r="G417" s="38"/>
      <c r="H417" s="38"/>
      <c r="I417" s="39"/>
      <c r="J417" s="39"/>
      <c r="K417" s="39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" customHeight="1">
      <c r="A418" s="5"/>
      <c r="B418" s="37"/>
      <c r="C418" s="37"/>
      <c r="D418" s="38"/>
      <c r="E418" s="38"/>
      <c r="F418" s="38"/>
      <c r="G418" s="38"/>
      <c r="H418" s="38"/>
      <c r="I418" s="39"/>
      <c r="J418" s="39"/>
      <c r="K418" s="39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" customHeight="1">
      <c r="A419" s="5"/>
      <c r="B419" s="37"/>
      <c r="C419" s="37"/>
      <c r="D419" s="38"/>
      <c r="E419" s="38"/>
      <c r="F419" s="38"/>
      <c r="G419" s="38"/>
      <c r="H419" s="38"/>
      <c r="I419" s="39"/>
      <c r="J419" s="39"/>
      <c r="K419" s="39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" customHeight="1">
      <c r="A420" s="5"/>
      <c r="B420" s="37"/>
      <c r="C420" s="37"/>
      <c r="D420" s="38"/>
      <c r="E420" s="38"/>
      <c r="F420" s="38"/>
      <c r="G420" s="38"/>
      <c r="H420" s="38"/>
      <c r="I420" s="39"/>
      <c r="J420" s="39"/>
      <c r="K420" s="39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" customHeight="1">
      <c r="A421" s="5"/>
      <c r="B421" s="37"/>
      <c r="C421" s="37"/>
      <c r="D421" s="38"/>
      <c r="E421" s="38"/>
      <c r="F421" s="38"/>
      <c r="G421" s="38"/>
      <c r="H421" s="38"/>
      <c r="I421" s="39"/>
      <c r="J421" s="39"/>
      <c r="K421" s="39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" customHeight="1">
      <c r="A422" s="5"/>
      <c r="B422" s="37"/>
      <c r="C422" s="37"/>
      <c r="D422" s="38"/>
      <c r="E422" s="38"/>
      <c r="F422" s="38"/>
      <c r="G422" s="38"/>
      <c r="H422" s="38"/>
      <c r="I422" s="39"/>
      <c r="J422" s="39"/>
      <c r="K422" s="39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" customHeight="1">
      <c r="A423" s="5"/>
      <c r="B423" s="37"/>
      <c r="C423" s="37"/>
      <c r="D423" s="38"/>
      <c r="E423" s="38"/>
      <c r="F423" s="38"/>
      <c r="G423" s="38"/>
      <c r="H423" s="38"/>
      <c r="I423" s="39"/>
      <c r="J423" s="39"/>
      <c r="K423" s="39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" customHeight="1">
      <c r="A424" s="5"/>
      <c r="B424" s="37"/>
      <c r="C424" s="37"/>
      <c r="D424" s="38"/>
      <c r="E424" s="38"/>
      <c r="F424" s="38"/>
      <c r="G424" s="38"/>
      <c r="H424" s="38"/>
      <c r="I424" s="39"/>
      <c r="J424" s="39"/>
      <c r="K424" s="39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" customHeight="1">
      <c r="A425" s="5"/>
      <c r="B425" s="37"/>
      <c r="C425" s="37"/>
      <c r="D425" s="38"/>
      <c r="E425" s="38"/>
      <c r="F425" s="38"/>
      <c r="G425" s="38"/>
      <c r="H425" s="38"/>
      <c r="I425" s="39"/>
      <c r="J425" s="39"/>
      <c r="K425" s="39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" customHeight="1">
      <c r="A426" s="5"/>
      <c r="B426" s="37"/>
      <c r="C426" s="37"/>
      <c r="D426" s="38"/>
      <c r="E426" s="38"/>
      <c r="F426" s="38"/>
      <c r="G426" s="38"/>
      <c r="H426" s="38"/>
      <c r="I426" s="39"/>
      <c r="J426" s="39"/>
      <c r="K426" s="39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" customHeight="1">
      <c r="A427" s="5"/>
      <c r="B427" s="37"/>
      <c r="C427" s="37"/>
      <c r="D427" s="38"/>
      <c r="E427" s="38"/>
      <c r="F427" s="38"/>
      <c r="G427" s="38"/>
      <c r="H427" s="38"/>
      <c r="I427" s="39"/>
      <c r="J427" s="39"/>
      <c r="K427" s="39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" customHeight="1">
      <c r="A428" s="5"/>
      <c r="B428" s="37"/>
      <c r="C428" s="37"/>
      <c r="D428" s="38"/>
      <c r="E428" s="38"/>
      <c r="F428" s="38"/>
      <c r="G428" s="38"/>
      <c r="H428" s="38"/>
      <c r="I428" s="39"/>
      <c r="J428" s="39"/>
      <c r="K428" s="39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" customHeight="1">
      <c r="A429" s="5"/>
      <c r="B429" s="37"/>
      <c r="C429" s="37"/>
      <c r="D429" s="38"/>
      <c r="E429" s="38"/>
      <c r="F429" s="38"/>
      <c r="G429" s="38"/>
      <c r="H429" s="38"/>
      <c r="I429" s="39"/>
      <c r="J429" s="39"/>
      <c r="K429" s="39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" customHeight="1">
      <c r="A430" s="5"/>
      <c r="B430" s="37"/>
      <c r="C430" s="37"/>
      <c r="D430" s="38"/>
      <c r="E430" s="38"/>
      <c r="F430" s="38"/>
      <c r="G430" s="38"/>
      <c r="H430" s="38"/>
      <c r="I430" s="39"/>
      <c r="J430" s="39"/>
      <c r="K430" s="39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" customHeight="1">
      <c r="A431" s="5"/>
      <c r="B431" s="37"/>
      <c r="C431" s="37"/>
      <c r="D431" s="38"/>
      <c r="E431" s="38"/>
      <c r="F431" s="38"/>
      <c r="G431" s="38"/>
      <c r="H431" s="38"/>
      <c r="I431" s="39"/>
      <c r="J431" s="39"/>
      <c r="K431" s="39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" customHeight="1">
      <c r="A432" s="5"/>
      <c r="B432" s="37"/>
      <c r="C432" s="37"/>
      <c r="D432" s="38"/>
      <c r="E432" s="38"/>
      <c r="F432" s="38"/>
      <c r="G432" s="38"/>
      <c r="H432" s="38"/>
      <c r="I432" s="39"/>
      <c r="J432" s="39"/>
      <c r="K432" s="39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" customHeight="1">
      <c r="A433" s="5"/>
      <c r="B433" s="37"/>
      <c r="C433" s="37"/>
      <c r="D433" s="38"/>
      <c r="E433" s="38"/>
      <c r="F433" s="38"/>
      <c r="G433" s="38"/>
      <c r="H433" s="38"/>
      <c r="I433" s="39"/>
      <c r="J433" s="39"/>
      <c r="K433" s="39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" customHeight="1">
      <c r="A434" s="5"/>
      <c r="B434" s="37"/>
      <c r="C434" s="37"/>
      <c r="D434" s="38"/>
      <c r="E434" s="38"/>
      <c r="F434" s="38"/>
      <c r="G434" s="38"/>
      <c r="H434" s="38"/>
      <c r="I434" s="39"/>
      <c r="J434" s="39"/>
      <c r="K434" s="39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" customHeight="1">
      <c r="A435" s="5"/>
      <c r="B435" s="37"/>
      <c r="C435" s="37"/>
      <c r="D435" s="38"/>
      <c r="E435" s="38"/>
      <c r="F435" s="38"/>
      <c r="G435" s="38"/>
      <c r="H435" s="38"/>
      <c r="I435" s="39"/>
      <c r="J435" s="39"/>
      <c r="K435" s="39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" customHeight="1">
      <c r="A436" s="5"/>
      <c r="B436" s="37"/>
      <c r="C436" s="37"/>
      <c r="D436" s="38"/>
      <c r="E436" s="38"/>
      <c r="F436" s="38"/>
      <c r="G436" s="38"/>
      <c r="H436" s="38"/>
      <c r="I436" s="39"/>
      <c r="J436" s="39"/>
      <c r="K436" s="39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" customHeight="1">
      <c r="A437" s="5"/>
      <c r="B437" s="37"/>
      <c r="C437" s="37"/>
      <c r="D437" s="38"/>
      <c r="E437" s="38"/>
      <c r="F437" s="38"/>
      <c r="G437" s="38"/>
      <c r="H437" s="38"/>
      <c r="I437" s="39"/>
      <c r="J437" s="39"/>
      <c r="K437" s="39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" customHeight="1">
      <c r="A438" s="5"/>
      <c r="B438" s="37"/>
      <c r="C438" s="37"/>
      <c r="D438" s="38"/>
      <c r="E438" s="38"/>
      <c r="F438" s="38"/>
      <c r="G438" s="38"/>
      <c r="H438" s="38"/>
      <c r="I438" s="39"/>
      <c r="J438" s="39"/>
      <c r="K438" s="39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" customHeight="1">
      <c r="A439" s="5"/>
      <c r="B439" s="37"/>
      <c r="C439" s="37"/>
      <c r="D439" s="38"/>
      <c r="E439" s="38"/>
      <c r="F439" s="38"/>
      <c r="G439" s="38"/>
      <c r="H439" s="38"/>
      <c r="I439" s="39"/>
      <c r="J439" s="39"/>
      <c r="K439" s="39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" customHeight="1">
      <c r="A440" s="5"/>
      <c r="B440" s="37"/>
      <c r="C440" s="37"/>
      <c r="D440" s="38"/>
      <c r="E440" s="38"/>
      <c r="F440" s="38"/>
      <c r="G440" s="38"/>
      <c r="H440" s="38"/>
      <c r="I440" s="39"/>
      <c r="J440" s="39"/>
      <c r="K440" s="39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" customHeight="1">
      <c r="A441" s="5"/>
      <c r="B441" s="37"/>
      <c r="C441" s="37"/>
      <c r="D441" s="38"/>
      <c r="E441" s="38"/>
      <c r="F441" s="38"/>
      <c r="G441" s="38"/>
      <c r="H441" s="38"/>
      <c r="I441" s="39"/>
      <c r="J441" s="39"/>
      <c r="K441" s="39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" customHeight="1">
      <c r="A442" s="5"/>
      <c r="B442" s="37"/>
      <c r="C442" s="37"/>
      <c r="D442" s="38"/>
      <c r="E442" s="38"/>
      <c r="F442" s="38"/>
      <c r="G442" s="38"/>
      <c r="H442" s="38"/>
      <c r="I442" s="39"/>
      <c r="J442" s="39"/>
      <c r="K442" s="39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" customHeight="1">
      <c r="A443" s="5"/>
      <c r="B443" s="37"/>
      <c r="C443" s="37"/>
      <c r="D443" s="38"/>
      <c r="E443" s="38"/>
      <c r="F443" s="38"/>
      <c r="G443" s="38"/>
      <c r="H443" s="38"/>
      <c r="I443" s="39"/>
      <c r="J443" s="39"/>
      <c r="K443" s="39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" customHeight="1">
      <c r="A444" s="5"/>
      <c r="B444" s="37"/>
      <c r="C444" s="37"/>
      <c r="D444" s="38"/>
      <c r="E444" s="38"/>
      <c r="F444" s="38"/>
      <c r="G444" s="38"/>
      <c r="H444" s="38"/>
      <c r="I444" s="39"/>
      <c r="J444" s="39"/>
      <c r="K444" s="39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" customHeight="1">
      <c r="A445" s="5"/>
      <c r="B445" s="37"/>
      <c r="C445" s="37"/>
      <c r="D445" s="38"/>
      <c r="E445" s="38"/>
      <c r="F445" s="38"/>
      <c r="G445" s="38"/>
      <c r="H445" s="38"/>
      <c r="I445" s="39"/>
      <c r="J445" s="39"/>
      <c r="K445" s="39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" customHeight="1">
      <c r="A446" s="5"/>
      <c r="B446" s="37"/>
      <c r="C446" s="37"/>
      <c r="D446" s="38"/>
      <c r="E446" s="38"/>
      <c r="F446" s="38"/>
      <c r="G446" s="38"/>
      <c r="H446" s="38"/>
      <c r="I446" s="39"/>
      <c r="J446" s="39"/>
      <c r="K446" s="39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" customHeight="1">
      <c r="A447" s="5"/>
      <c r="B447" s="37"/>
      <c r="C447" s="37"/>
      <c r="D447" s="38"/>
      <c r="E447" s="38"/>
      <c r="F447" s="38"/>
      <c r="G447" s="38"/>
      <c r="H447" s="38"/>
      <c r="I447" s="39"/>
      <c r="J447" s="39"/>
      <c r="K447" s="39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" customHeight="1">
      <c r="A448" s="5"/>
      <c r="B448" s="37"/>
      <c r="C448" s="37"/>
      <c r="D448" s="38"/>
      <c r="E448" s="38"/>
      <c r="F448" s="38"/>
      <c r="G448" s="38"/>
      <c r="H448" s="38"/>
      <c r="I448" s="39"/>
      <c r="J448" s="39"/>
      <c r="K448" s="39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" customHeight="1">
      <c r="A449" s="5"/>
      <c r="B449" s="37"/>
      <c r="C449" s="37"/>
      <c r="D449" s="38"/>
      <c r="E449" s="38"/>
      <c r="F449" s="38"/>
      <c r="G449" s="38"/>
      <c r="H449" s="38"/>
      <c r="I449" s="39"/>
      <c r="J449" s="39"/>
      <c r="K449" s="39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" customHeight="1">
      <c r="A450" s="5"/>
      <c r="B450" s="37"/>
      <c r="C450" s="37"/>
      <c r="D450" s="38"/>
      <c r="E450" s="38"/>
      <c r="F450" s="38"/>
      <c r="G450" s="38"/>
      <c r="H450" s="38"/>
      <c r="I450" s="39"/>
      <c r="J450" s="39"/>
      <c r="K450" s="39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" customHeight="1">
      <c r="A451" s="5"/>
      <c r="B451" s="37"/>
      <c r="C451" s="37"/>
      <c r="D451" s="38"/>
      <c r="E451" s="38"/>
      <c r="F451" s="38"/>
      <c r="G451" s="38"/>
      <c r="H451" s="38"/>
      <c r="I451" s="39"/>
      <c r="J451" s="39"/>
      <c r="K451" s="39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" customHeight="1">
      <c r="A452" s="5"/>
      <c r="B452" s="37"/>
      <c r="C452" s="37"/>
      <c r="D452" s="38"/>
      <c r="E452" s="38"/>
      <c r="F452" s="38"/>
      <c r="G452" s="38"/>
      <c r="H452" s="38"/>
      <c r="I452" s="39"/>
      <c r="J452" s="39"/>
      <c r="K452" s="39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" customHeight="1">
      <c r="A453" s="5"/>
      <c r="B453" s="37"/>
      <c r="C453" s="37"/>
      <c r="D453" s="38"/>
      <c r="E453" s="38"/>
      <c r="F453" s="38"/>
      <c r="G453" s="38"/>
      <c r="H453" s="38"/>
      <c r="I453" s="39"/>
      <c r="J453" s="39"/>
      <c r="K453" s="39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" customHeight="1">
      <c r="A454" s="5"/>
      <c r="B454" s="37"/>
      <c r="C454" s="37"/>
      <c r="D454" s="38"/>
      <c r="E454" s="38"/>
      <c r="F454" s="38"/>
      <c r="G454" s="38"/>
      <c r="H454" s="38"/>
      <c r="I454" s="39"/>
      <c r="J454" s="39"/>
      <c r="K454" s="39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" customHeight="1">
      <c r="A455" s="5"/>
      <c r="B455" s="37"/>
      <c r="C455" s="37"/>
      <c r="D455" s="38"/>
      <c r="E455" s="38"/>
      <c r="F455" s="38"/>
      <c r="G455" s="38"/>
      <c r="H455" s="38"/>
      <c r="I455" s="39"/>
      <c r="J455" s="39"/>
      <c r="K455" s="39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" customHeight="1">
      <c r="A456" s="5"/>
      <c r="B456" s="37"/>
      <c r="C456" s="37"/>
      <c r="D456" s="38"/>
      <c r="E456" s="38"/>
      <c r="F456" s="38"/>
      <c r="G456" s="38"/>
      <c r="H456" s="38"/>
      <c r="I456" s="39"/>
      <c r="J456" s="39"/>
      <c r="K456" s="39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" customHeight="1">
      <c r="A457" s="5"/>
      <c r="B457" s="37"/>
      <c r="C457" s="37"/>
      <c r="D457" s="38"/>
      <c r="E457" s="38"/>
      <c r="F457" s="38"/>
      <c r="G457" s="38"/>
      <c r="H457" s="38"/>
      <c r="I457" s="39"/>
      <c r="J457" s="39"/>
      <c r="K457" s="39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" customHeight="1">
      <c r="A458" s="5"/>
      <c r="B458" s="37"/>
      <c r="C458" s="37"/>
      <c r="D458" s="38"/>
      <c r="E458" s="38"/>
      <c r="F458" s="38"/>
      <c r="G458" s="38"/>
      <c r="H458" s="38"/>
      <c r="I458" s="39"/>
      <c r="J458" s="39"/>
      <c r="K458" s="39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" customHeight="1">
      <c r="A459" s="5"/>
      <c r="B459" s="37"/>
      <c r="C459" s="37"/>
      <c r="D459" s="38"/>
      <c r="E459" s="38"/>
      <c r="F459" s="38"/>
      <c r="G459" s="38"/>
      <c r="H459" s="38"/>
      <c r="I459" s="39"/>
      <c r="J459" s="39"/>
      <c r="K459" s="39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" customHeight="1">
      <c r="A460" s="5"/>
      <c r="B460" s="37"/>
      <c r="C460" s="37"/>
      <c r="D460" s="38"/>
      <c r="E460" s="38"/>
      <c r="F460" s="38"/>
      <c r="G460" s="38"/>
      <c r="H460" s="38"/>
      <c r="I460" s="39"/>
      <c r="J460" s="39"/>
      <c r="K460" s="39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" customHeight="1">
      <c r="A461" s="5"/>
      <c r="B461" s="37"/>
      <c r="C461" s="37"/>
      <c r="D461" s="38"/>
      <c r="E461" s="38"/>
      <c r="F461" s="38"/>
      <c r="G461" s="38"/>
      <c r="H461" s="38"/>
      <c r="I461" s="39"/>
      <c r="J461" s="39"/>
      <c r="K461" s="39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" customHeight="1">
      <c r="A462" s="5"/>
      <c r="B462" s="37"/>
      <c r="C462" s="37"/>
      <c r="D462" s="38"/>
      <c r="E462" s="38"/>
      <c r="F462" s="38"/>
      <c r="G462" s="38"/>
      <c r="H462" s="38"/>
      <c r="I462" s="39"/>
      <c r="J462" s="39"/>
      <c r="K462" s="39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" customHeight="1">
      <c r="A463" s="5"/>
      <c r="B463" s="37"/>
      <c r="C463" s="37"/>
      <c r="D463" s="38"/>
      <c r="E463" s="38"/>
      <c r="F463" s="38"/>
      <c r="G463" s="38"/>
      <c r="H463" s="38"/>
      <c r="I463" s="39"/>
      <c r="J463" s="39"/>
      <c r="K463" s="39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" customHeight="1">
      <c r="A464" s="5"/>
      <c r="B464" s="37"/>
      <c r="C464" s="37"/>
      <c r="D464" s="38"/>
      <c r="E464" s="38"/>
      <c r="F464" s="38"/>
      <c r="G464" s="38"/>
      <c r="H464" s="38"/>
      <c r="I464" s="39"/>
      <c r="J464" s="39"/>
      <c r="K464" s="39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" customHeight="1">
      <c r="A465" s="5"/>
      <c r="B465" s="37"/>
      <c r="C465" s="37"/>
      <c r="D465" s="38"/>
      <c r="E465" s="38"/>
      <c r="F465" s="38"/>
      <c r="G465" s="38"/>
      <c r="H465" s="38"/>
      <c r="I465" s="39"/>
      <c r="J465" s="39"/>
      <c r="K465" s="39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" customHeight="1">
      <c r="A466" s="5"/>
      <c r="B466" s="37"/>
      <c r="C466" s="37"/>
      <c r="D466" s="38"/>
      <c r="E466" s="38"/>
      <c r="F466" s="38"/>
      <c r="G466" s="38"/>
      <c r="H466" s="38"/>
      <c r="I466" s="39"/>
      <c r="J466" s="39"/>
      <c r="K466" s="39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" customHeight="1">
      <c r="A467" s="5"/>
      <c r="B467" s="37"/>
      <c r="C467" s="37"/>
      <c r="D467" s="38"/>
      <c r="E467" s="38"/>
      <c r="F467" s="38"/>
      <c r="G467" s="38"/>
      <c r="H467" s="38"/>
      <c r="I467" s="39"/>
      <c r="J467" s="39"/>
      <c r="K467" s="39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" customHeight="1">
      <c r="A468" s="5"/>
      <c r="B468" s="37"/>
      <c r="C468" s="37"/>
      <c r="D468" s="38"/>
      <c r="E468" s="38"/>
      <c r="F468" s="38"/>
      <c r="G468" s="38"/>
      <c r="H468" s="38"/>
      <c r="I468" s="39"/>
      <c r="J468" s="39"/>
      <c r="K468" s="39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" customHeight="1">
      <c r="A469" s="5"/>
      <c r="B469" s="37"/>
      <c r="C469" s="37"/>
      <c r="D469" s="38"/>
      <c r="E469" s="38"/>
      <c r="F469" s="38"/>
      <c r="G469" s="38"/>
      <c r="H469" s="38"/>
      <c r="I469" s="39"/>
      <c r="J469" s="39"/>
      <c r="K469" s="39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" customHeight="1">
      <c r="A470" s="5"/>
      <c r="B470" s="37"/>
      <c r="C470" s="37"/>
      <c r="D470" s="38"/>
      <c r="E470" s="38"/>
      <c r="F470" s="38"/>
      <c r="G470" s="38"/>
      <c r="H470" s="38"/>
      <c r="I470" s="39"/>
      <c r="J470" s="39"/>
      <c r="K470" s="39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" customHeight="1">
      <c r="A471" s="5"/>
      <c r="B471" s="37"/>
      <c r="C471" s="37"/>
      <c r="D471" s="38"/>
      <c r="E471" s="38"/>
      <c r="F471" s="38"/>
      <c r="G471" s="38"/>
      <c r="H471" s="38"/>
      <c r="I471" s="39"/>
      <c r="J471" s="39"/>
      <c r="K471" s="39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" customHeight="1">
      <c r="A472" s="5"/>
      <c r="B472" s="37"/>
      <c r="C472" s="37"/>
      <c r="D472" s="38"/>
      <c r="E472" s="38"/>
      <c r="F472" s="38"/>
      <c r="G472" s="38"/>
      <c r="H472" s="38"/>
      <c r="I472" s="39"/>
      <c r="J472" s="39"/>
      <c r="K472" s="39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" customHeight="1">
      <c r="A473" s="5"/>
      <c r="B473" s="37"/>
      <c r="C473" s="37"/>
      <c r="D473" s="38"/>
      <c r="E473" s="38"/>
      <c r="F473" s="38"/>
      <c r="G473" s="38"/>
      <c r="H473" s="38"/>
      <c r="I473" s="39"/>
      <c r="J473" s="39"/>
      <c r="K473" s="39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" customHeight="1">
      <c r="A474" s="5"/>
      <c r="B474" s="37"/>
      <c r="C474" s="37"/>
      <c r="D474" s="38"/>
      <c r="E474" s="38"/>
      <c r="F474" s="38"/>
      <c r="G474" s="38"/>
      <c r="H474" s="38"/>
      <c r="I474" s="39"/>
      <c r="J474" s="39"/>
      <c r="K474" s="39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" customHeight="1">
      <c r="A475" s="5"/>
      <c r="B475" s="37"/>
      <c r="C475" s="37"/>
      <c r="D475" s="38"/>
      <c r="E475" s="38"/>
      <c r="F475" s="38"/>
      <c r="G475" s="38"/>
      <c r="H475" s="38"/>
      <c r="I475" s="39"/>
      <c r="J475" s="39"/>
      <c r="K475" s="39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" customHeight="1">
      <c r="A476" s="5"/>
      <c r="B476" s="37"/>
      <c r="C476" s="37"/>
      <c r="D476" s="38"/>
      <c r="E476" s="38"/>
      <c r="F476" s="38"/>
      <c r="G476" s="38"/>
      <c r="H476" s="38"/>
      <c r="I476" s="39"/>
      <c r="J476" s="39"/>
      <c r="K476" s="39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" customHeight="1">
      <c r="A477" s="5"/>
      <c r="B477" s="37"/>
      <c r="C477" s="37"/>
      <c r="D477" s="38"/>
      <c r="E477" s="38"/>
      <c r="F477" s="38"/>
      <c r="G477" s="38"/>
      <c r="H477" s="38"/>
      <c r="I477" s="39"/>
      <c r="J477" s="39"/>
      <c r="K477" s="39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" customHeight="1">
      <c r="A478" s="5"/>
      <c r="B478" s="37"/>
      <c r="C478" s="37"/>
      <c r="D478" s="38"/>
      <c r="E478" s="38"/>
      <c r="F478" s="38"/>
      <c r="G478" s="38"/>
      <c r="H478" s="38"/>
      <c r="I478" s="39"/>
      <c r="J478" s="39"/>
      <c r="K478" s="39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" customHeight="1">
      <c r="A479" s="5"/>
      <c r="B479" s="37"/>
      <c r="C479" s="37"/>
      <c r="D479" s="38"/>
      <c r="E479" s="38"/>
      <c r="F479" s="38"/>
      <c r="G479" s="38"/>
      <c r="H479" s="38"/>
      <c r="I479" s="39"/>
      <c r="J479" s="39"/>
      <c r="K479" s="39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" customHeight="1">
      <c r="A480" s="5"/>
      <c r="B480" s="37"/>
      <c r="C480" s="37"/>
      <c r="D480" s="38"/>
      <c r="E480" s="38"/>
      <c r="F480" s="38"/>
      <c r="G480" s="38"/>
      <c r="H480" s="38"/>
      <c r="I480" s="39"/>
      <c r="J480" s="39"/>
      <c r="K480" s="39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" customHeight="1">
      <c r="A481" s="5"/>
      <c r="B481" s="37"/>
      <c r="C481" s="37"/>
      <c r="D481" s="38"/>
      <c r="E481" s="38"/>
      <c r="F481" s="38"/>
      <c r="G481" s="38"/>
      <c r="H481" s="38"/>
      <c r="I481" s="39"/>
      <c r="J481" s="39"/>
      <c r="K481" s="39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" customHeight="1">
      <c r="A482" s="5"/>
      <c r="B482" s="37"/>
      <c r="C482" s="37"/>
      <c r="D482" s="38"/>
      <c r="E482" s="38"/>
      <c r="F482" s="38"/>
      <c r="G482" s="38"/>
      <c r="H482" s="38"/>
      <c r="I482" s="39"/>
      <c r="J482" s="39"/>
      <c r="K482" s="39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" customHeight="1">
      <c r="A483" s="5"/>
      <c r="B483" s="37"/>
      <c r="C483" s="37"/>
      <c r="D483" s="38"/>
      <c r="E483" s="38"/>
      <c r="F483" s="38"/>
      <c r="G483" s="38"/>
      <c r="H483" s="38"/>
      <c r="I483" s="39"/>
      <c r="J483" s="39"/>
      <c r="K483" s="39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" customHeight="1">
      <c r="A484" s="5"/>
      <c r="B484" s="37"/>
      <c r="C484" s="37"/>
      <c r="D484" s="38"/>
      <c r="E484" s="38"/>
      <c r="F484" s="38"/>
      <c r="G484" s="38"/>
      <c r="H484" s="38"/>
      <c r="I484" s="39"/>
      <c r="J484" s="39"/>
      <c r="K484" s="39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" customHeight="1">
      <c r="A485" s="5"/>
      <c r="B485" s="37"/>
      <c r="C485" s="37"/>
      <c r="D485" s="38"/>
      <c r="E485" s="38"/>
      <c r="F485" s="38"/>
      <c r="G485" s="38"/>
      <c r="H485" s="38"/>
      <c r="I485" s="39"/>
      <c r="J485" s="39"/>
      <c r="K485" s="39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" customHeight="1">
      <c r="A486" s="5"/>
      <c r="B486" s="37"/>
      <c r="C486" s="37"/>
      <c r="D486" s="38"/>
      <c r="E486" s="38"/>
      <c r="F486" s="38"/>
      <c r="G486" s="38"/>
      <c r="H486" s="38"/>
      <c r="I486" s="39"/>
      <c r="J486" s="39"/>
      <c r="K486" s="39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" customHeight="1">
      <c r="A487" s="5"/>
      <c r="B487" s="37"/>
      <c r="C487" s="37"/>
      <c r="D487" s="38"/>
      <c r="E487" s="38"/>
      <c r="F487" s="38"/>
      <c r="G487" s="38"/>
      <c r="H487" s="38"/>
      <c r="I487" s="39"/>
      <c r="J487" s="39"/>
      <c r="K487" s="39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" customHeight="1">
      <c r="A488" s="5"/>
      <c r="B488" s="37"/>
      <c r="C488" s="37"/>
      <c r="D488" s="38"/>
      <c r="E488" s="38"/>
      <c r="F488" s="38"/>
      <c r="G488" s="38"/>
      <c r="H488" s="38"/>
      <c r="I488" s="39"/>
      <c r="J488" s="39"/>
      <c r="K488" s="39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" customHeight="1">
      <c r="A489" s="5"/>
      <c r="B489" s="37"/>
      <c r="C489" s="37"/>
      <c r="D489" s="38"/>
      <c r="E489" s="38"/>
      <c r="F489" s="38"/>
      <c r="G489" s="38"/>
      <c r="H489" s="38"/>
      <c r="I489" s="39"/>
      <c r="J489" s="39"/>
      <c r="K489" s="39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" customHeight="1">
      <c r="A490" s="5"/>
      <c r="B490" s="37"/>
      <c r="C490" s="37"/>
      <c r="D490" s="38"/>
      <c r="E490" s="38"/>
      <c r="F490" s="38"/>
      <c r="G490" s="38"/>
      <c r="H490" s="38"/>
      <c r="I490" s="39"/>
      <c r="J490" s="39"/>
      <c r="K490" s="39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" customHeight="1">
      <c r="A491" s="5"/>
      <c r="B491" s="37"/>
      <c r="C491" s="37"/>
      <c r="D491" s="38"/>
      <c r="E491" s="38"/>
      <c r="F491" s="38"/>
      <c r="G491" s="38"/>
      <c r="H491" s="38"/>
      <c r="I491" s="39"/>
      <c r="J491" s="39"/>
      <c r="K491" s="39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" customHeight="1">
      <c r="A492" s="5"/>
      <c r="B492" s="37"/>
      <c r="C492" s="37"/>
      <c r="D492" s="38"/>
      <c r="E492" s="38"/>
      <c r="F492" s="38"/>
      <c r="G492" s="38"/>
      <c r="H492" s="38"/>
      <c r="I492" s="39"/>
      <c r="J492" s="39"/>
      <c r="K492" s="39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" customHeight="1">
      <c r="A493" s="5"/>
      <c r="B493" s="37"/>
      <c r="C493" s="37"/>
      <c r="D493" s="38"/>
      <c r="E493" s="38"/>
      <c r="F493" s="38"/>
      <c r="G493" s="38"/>
      <c r="H493" s="38"/>
      <c r="I493" s="39"/>
      <c r="J493" s="39"/>
      <c r="K493" s="39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" customHeight="1">
      <c r="A494" s="5"/>
      <c r="B494" s="37"/>
      <c r="C494" s="37"/>
      <c r="D494" s="38"/>
      <c r="E494" s="38"/>
      <c r="F494" s="38"/>
      <c r="G494" s="38"/>
      <c r="H494" s="38"/>
      <c r="I494" s="39"/>
      <c r="J494" s="39"/>
      <c r="K494" s="39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" customHeight="1">
      <c r="A495" s="5"/>
      <c r="B495" s="37"/>
      <c r="C495" s="37"/>
      <c r="D495" s="38"/>
      <c r="E495" s="38"/>
      <c r="F495" s="38"/>
      <c r="G495" s="38"/>
      <c r="H495" s="38"/>
      <c r="I495" s="39"/>
      <c r="J495" s="39"/>
      <c r="K495" s="39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" customHeight="1">
      <c r="A496" s="5"/>
      <c r="B496" s="37"/>
      <c r="C496" s="37"/>
      <c r="D496" s="38"/>
      <c r="E496" s="38"/>
      <c r="F496" s="38"/>
      <c r="G496" s="38"/>
      <c r="H496" s="38"/>
      <c r="I496" s="39"/>
      <c r="J496" s="39"/>
      <c r="K496" s="39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" customHeight="1">
      <c r="A497" s="5"/>
      <c r="B497" s="37"/>
      <c r="C497" s="37"/>
      <c r="D497" s="38"/>
      <c r="E497" s="38"/>
      <c r="F497" s="38"/>
      <c r="G497" s="38"/>
      <c r="H497" s="38"/>
      <c r="I497" s="39"/>
      <c r="J497" s="39"/>
      <c r="K497" s="39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" customHeight="1">
      <c r="A498" s="5"/>
      <c r="B498" s="37"/>
      <c r="C498" s="37"/>
      <c r="D498" s="38"/>
      <c r="E498" s="38"/>
      <c r="F498" s="38"/>
      <c r="G498" s="38"/>
      <c r="H498" s="38"/>
      <c r="I498" s="39"/>
      <c r="J498" s="39"/>
      <c r="K498" s="39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" customHeight="1">
      <c r="A499" s="5"/>
      <c r="B499" s="37"/>
      <c r="C499" s="37"/>
      <c r="D499" s="38"/>
      <c r="E499" s="38"/>
      <c r="F499" s="38"/>
      <c r="G499" s="38"/>
      <c r="H499" s="38"/>
      <c r="I499" s="39"/>
      <c r="J499" s="39"/>
      <c r="K499" s="39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" customHeight="1">
      <c r="A500" s="5"/>
      <c r="B500" s="37"/>
      <c r="C500" s="37"/>
      <c r="D500" s="38"/>
      <c r="E500" s="38"/>
      <c r="F500" s="38"/>
      <c r="G500" s="38"/>
      <c r="H500" s="38"/>
      <c r="I500" s="39"/>
      <c r="J500" s="39"/>
      <c r="K500" s="39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" customHeight="1">
      <c r="A501" s="5"/>
      <c r="B501" s="37"/>
      <c r="C501" s="37"/>
      <c r="D501" s="38"/>
      <c r="E501" s="38"/>
      <c r="F501" s="38"/>
      <c r="G501" s="38"/>
      <c r="H501" s="38"/>
      <c r="I501" s="39"/>
      <c r="J501" s="39"/>
      <c r="K501" s="39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" customHeight="1">
      <c r="A502" s="5"/>
      <c r="B502" s="37"/>
      <c r="C502" s="37"/>
      <c r="D502" s="38"/>
      <c r="E502" s="38"/>
      <c r="F502" s="38"/>
      <c r="G502" s="38"/>
      <c r="H502" s="38"/>
      <c r="I502" s="39"/>
      <c r="J502" s="39"/>
      <c r="K502" s="39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" customHeight="1">
      <c r="A503" s="5"/>
      <c r="B503" s="37"/>
      <c r="C503" s="37"/>
      <c r="D503" s="38"/>
      <c r="E503" s="38"/>
      <c r="F503" s="38"/>
      <c r="G503" s="38"/>
      <c r="H503" s="38"/>
      <c r="I503" s="39"/>
      <c r="J503" s="39"/>
      <c r="K503" s="39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" customHeight="1">
      <c r="A504" s="5"/>
      <c r="B504" s="37"/>
      <c r="C504" s="37"/>
      <c r="D504" s="38"/>
      <c r="E504" s="38"/>
      <c r="F504" s="38"/>
      <c r="G504" s="38"/>
      <c r="H504" s="38"/>
      <c r="I504" s="39"/>
      <c r="J504" s="39"/>
      <c r="K504" s="39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" customHeight="1">
      <c r="A505" s="5"/>
      <c r="B505" s="37"/>
      <c r="C505" s="37"/>
      <c r="D505" s="38"/>
      <c r="E505" s="38"/>
      <c r="F505" s="38"/>
      <c r="G505" s="38"/>
      <c r="H505" s="38"/>
      <c r="I505" s="39"/>
      <c r="J505" s="39"/>
      <c r="K505" s="39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" customHeight="1">
      <c r="A506" s="5"/>
      <c r="B506" s="37"/>
      <c r="C506" s="37"/>
      <c r="D506" s="38"/>
      <c r="E506" s="38"/>
      <c r="F506" s="38"/>
      <c r="G506" s="38"/>
      <c r="H506" s="38"/>
      <c r="I506" s="39"/>
      <c r="J506" s="39"/>
      <c r="K506" s="39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" customHeight="1">
      <c r="A507" s="5"/>
      <c r="B507" s="37"/>
      <c r="C507" s="37"/>
      <c r="D507" s="38"/>
      <c r="E507" s="38"/>
      <c r="F507" s="38"/>
      <c r="G507" s="38"/>
      <c r="H507" s="38"/>
      <c r="I507" s="39"/>
      <c r="J507" s="39"/>
      <c r="K507" s="39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" customHeight="1">
      <c r="A508" s="5"/>
      <c r="B508" s="37"/>
      <c r="C508" s="37"/>
      <c r="D508" s="38"/>
      <c r="E508" s="38"/>
      <c r="F508" s="38"/>
      <c r="G508" s="38"/>
      <c r="H508" s="38"/>
      <c r="I508" s="39"/>
      <c r="J508" s="39"/>
      <c r="K508" s="39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" customHeight="1">
      <c r="A509" s="5"/>
      <c r="B509" s="37"/>
      <c r="C509" s="37"/>
      <c r="D509" s="38"/>
      <c r="E509" s="38"/>
      <c r="F509" s="38"/>
      <c r="G509" s="38"/>
      <c r="H509" s="38"/>
      <c r="I509" s="39"/>
      <c r="J509" s="39"/>
      <c r="K509" s="39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" customHeight="1">
      <c r="A510" s="5"/>
      <c r="B510" s="37"/>
      <c r="C510" s="37"/>
      <c r="D510" s="38"/>
      <c r="E510" s="38"/>
      <c r="F510" s="38"/>
      <c r="G510" s="38"/>
      <c r="H510" s="38"/>
      <c r="I510" s="39"/>
      <c r="J510" s="39"/>
      <c r="K510" s="39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" customHeight="1">
      <c r="A511" s="5"/>
      <c r="B511" s="37"/>
      <c r="C511" s="37"/>
      <c r="D511" s="38"/>
      <c r="E511" s="38"/>
      <c r="F511" s="38"/>
      <c r="G511" s="38"/>
      <c r="H511" s="38"/>
      <c r="I511" s="39"/>
      <c r="J511" s="39"/>
      <c r="K511" s="39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" customHeight="1">
      <c r="A512" s="5"/>
      <c r="B512" s="37"/>
      <c r="C512" s="37"/>
      <c r="D512" s="38"/>
      <c r="E512" s="38"/>
      <c r="F512" s="38"/>
      <c r="G512" s="38"/>
      <c r="H512" s="38"/>
      <c r="I512" s="39"/>
      <c r="J512" s="39"/>
      <c r="K512" s="39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" customHeight="1">
      <c r="A513" s="5"/>
      <c r="B513" s="37"/>
      <c r="C513" s="37"/>
      <c r="D513" s="38"/>
      <c r="E513" s="38"/>
      <c r="F513" s="38"/>
      <c r="G513" s="38"/>
      <c r="H513" s="38"/>
      <c r="I513" s="39"/>
      <c r="J513" s="39"/>
      <c r="K513" s="39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" customHeight="1">
      <c r="A514" s="5"/>
      <c r="B514" s="37"/>
      <c r="C514" s="37"/>
      <c r="D514" s="38"/>
      <c r="E514" s="38"/>
      <c r="F514" s="38"/>
      <c r="G514" s="38"/>
      <c r="H514" s="38"/>
      <c r="I514" s="39"/>
      <c r="J514" s="39"/>
      <c r="K514" s="39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" customHeight="1">
      <c r="A515" s="5"/>
      <c r="B515" s="37"/>
      <c r="C515" s="37"/>
      <c r="D515" s="38"/>
      <c r="E515" s="38"/>
      <c r="F515" s="38"/>
      <c r="G515" s="38"/>
      <c r="H515" s="38"/>
      <c r="I515" s="39"/>
      <c r="J515" s="39"/>
      <c r="K515" s="39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" customHeight="1">
      <c r="A516" s="5"/>
      <c r="B516" s="37"/>
      <c r="C516" s="37"/>
      <c r="D516" s="38"/>
      <c r="E516" s="38"/>
      <c r="F516" s="38"/>
      <c r="G516" s="38"/>
      <c r="H516" s="38"/>
      <c r="I516" s="39"/>
      <c r="J516" s="39"/>
      <c r="K516" s="39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" customHeight="1">
      <c r="A517" s="5"/>
      <c r="B517" s="37"/>
      <c r="C517" s="37"/>
      <c r="D517" s="38"/>
      <c r="E517" s="38"/>
      <c r="F517" s="38"/>
      <c r="G517" s="38"/>
      <c r="H517" s="38"/>
      <c r="I517" s="39"/>
      <c r="J517" s="39"/>
      <c r="K517" s="39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" customHeight="1">
      <c r="A518" s="5"/>
      <c r="B518" s="37"/>
      <c r="C518" s="37"/>
      <c r="D518" s="38"/>
      <c r="E518" s="38"/>
      <c r="F518" s="38"/>
      <c r="G518" s="38"/>
      <c r="H518" s="38"/>
      <c r="I518" s="39"/>
      <c r="J518" s="39"/>
      <c r="K518" s="39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" customHeight="1">
      <c r="A519" s="5"/>
      <c r="B519" s="37"/>
      <c r="C519" s="37"/>
      <c r="D519" s="38"/>
      <c r="E519" s="38"/>
      <c r="F519" s="38"/>
      <c r="G519" s="38"/>
      <c r="H519" s="38"/>
      <c r="I519" s="39"/>
      <c r="J519" s="39"/>
      <c r="K519" s="39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" customHeight="1">
      <c r="A520" s="5"/>
      <c r="B520" s="37"/>
      <c r="C520" s="37"/>
      <c r="D520" s="38"/>
      <c r="E520" s="38"/>
      <c r="F520" s="38"/>
      <c r="G520" s="38"/>
      <c r="H520" s="38"/>
      <c r="I520" s="39"/>
      <c r="J520" s="39"/>
      <c r="K520" s="39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" customHeight="1">
      <c r="A521" s="5"/>
      <c r="B521" s="37"/>
      <c r="C521" s="37"/>
      <c r="D521" s="38"/>
      <c r="E521" s="38"/>
      <c r="F521" s="38"/>
      <c r="G521" s="38"/>
      <c r="H521" s="38"/>
      <c r="I521" s="39"/>
      <c r="J521" s="39"/>
      <c r="K521" s="39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" customHeight="1">
      <c r="A522" s="5"/>
      <c r="B522" s="37"/>
      <c r="C522" s="37"/>
      <c r="D522" s="38"/>
      <c r="E522" s="38"/>
      <c r="F522" s="38"/>
      <c r="G522" s="38"/>
      <c r="H522" s="38"/>
      <c r="I522" s="39"/>
      <c r="J522" s="39"/>
      <c r="K522" s="39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" customHeight="1">
      <c r="A523" s="5"/>
      <c r="B523" s="37"/>
      <c r="C523" s="37"/>
      <c r="D523" s="38"/>
      <c r="E523" s="38"/>
      <c r="F523" s="38"/>
      <c r="G523" s="38"/>
      <c r="H523" s="38"/>
      <c r="I523" s="39"/>
      <c r="J523" s="39"/>
      <c r="K523" s="39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" customHeight="1">
      <c r="A524" s="5"/>
      <c r="B524" s="37"/>
      <c r="C524" s="37"/>
      <c r="D524" s="38"/>
      <c r="E524" s="38"/>
      <c r="F524" s="38"/>
      <c r="G524" s="38"/>
      <c r="H524" s="38"/>
      <c r="I524" s="39"/>
      <c r="J524" s="39"/>
      <c r="K524" s="39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" customHeight="1">
      <c r="A525" s="5"/>
      <c r="B525" s="37"/>
      <c r="C525" s="37"/>
      <c r="D525" s="38"/>
      <c r="E525" s="38"/>
      <c r="F525" s="38"/>
      <c r="G525" s="38"/>
      <c r="H525" s="38"/>
      <c r="I525" s="39"/>
      <c r="J525" s="39"/>
      <c r="K525" s="39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" customHeight="1">
      <c r="A526" s="5"/>
      <c r="B526" s="37"/>
      <c r="C526" s="37"/>
      <c r="D526" s="38"/>
      <c r="E526" s="38"/>
      <c r="F526" s="38"/>
      <c r="G526" s="38"/>
      <c r="H526" s="38"/>
      <c r="I526" s="39"/>
      <c r="J526" s="39"/>
      <c r="K526" s="39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" customHeight="1">
      <c r="A527" s="5"/>
      <c r="B527" s="37"/>
      <c r="C527" s="37"/>
      <c r="D527" s="38"/>
      <c r="E527" s="38"/>
      <c r="F527" s="38"/>
      <c r="G527" s="38"/>
      <c r="H527" s="38"/>
      <c r="I527" s="39"/>
      <c r="J527" s="39"/>
      <c r="K527" s="39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" customHeight="1">
      <c r="A528" s="5"/>
      <c r="B528" s="37"/>
      <c r="C528" s="37"/>
      <c r="D528" s="38"/>
      <c r="E528" s="38"/>
      <c r="F528" s="38"/>
      <c r="G528" s="38"/>
      <c r="H528" s="38"/>
      <c r="I528" s="39"/>
      <c r="J528" s="39"/>
      <c r="K528" s="39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" customHeight="1">
      <c r="A529" s="5"/>
      <c r="B529" s="37"/>
      <c r="C529" s="37"/>
      <c r="D529" s="38"/>
      <c r="E529" s="38"/>
      <c r="F529" s="38"/>
      <c r="G529" s="38"/>
      <c r="H529" s="38"/>
      <c r="I529" s="39"/>
      <c r="J529" s="39"/>
      <c r="K529" s="39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" customHeight="1">
      <c r="A530" s="5"/>
      <c r="B530" s="37"/>
      <c r="C530" s="37"/>
      <c r="D530" s="38"/>
      <c r="E530" s="38"/>
      <c r="F530" s="38"/>
      <c r="G530" s="38"/>
      <c r="H530" s="38"/>
      <c r="I530" s="39"/>
      <c r="J530" s="39"/>
      <c r="K530" s="39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" customHeight="1">
      <c r="A531" s="5"/>
      <c r="B531" s="37"/>
      <c r="C531" s="37"/>
      <c r="D531" s="38"/>
      <c r="E531" s="38"/>
      <c r="F531" s="38"/>
      <c r="G531" s="38"/>
      <c r="H531" s="38"/>
      <c r="I531" s="39"/>
      <c r="J531" s="39"/>
      <c r="K531" s="39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" customHeight="1">
      <c r="A532" s="5"/>
      <c r="B532" s="37"/>
      <c r="C532" s="37"/>
      <c r="D532" s="38"/>
      <c r="E532" s="38"/>
      <c r="F532" s="38"/>
      <c r="G532" s="38"/>
      <c r="H532" s="38"/>
      <c r="I532" s="39"/>
      <c r="J532" s="39"/>
      <c r="K532" s="39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" customHeight="1">
      <c r="A533" s="5"/>
      <c r="B533" s="37"/>
      <c r="C533" s="37"/>
      <c r="D533" s="38"/>
      <c r="E533" s="38"/>
      <c r="F533" s="38"/>
      <c r="G533" s="38"/>
      <c r="H533" s="38"/>
      <c r="I533" s="39"/>
      <c r="J533" s="39"/>
      <c r="K533" s="39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" customHeight="1">
      <c r="A534" s="5"/>
      <c r="B534" s="37"/>
      <c r="C534" s="37"/>
      <c r="D534" s="38"/>
      <c r="E534" s="38"/>
      <c r="F534" s="38"/>
      <c r="G534" s="38"/>
      <c r="H534" s="38"/>
      <c r="I534" s="39"/>
      <c r="J534" s="39"/>
      <c r="K534" s="39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" customHeight="1">
      <c r="A535" s="5"/>
      <c r="B535" s="37"/>
      <c r="C535" s="37"/>
      <c r="D535" s="38"/>
      <c r="E535" s="38"/>
      <c r="F535" s="38"/>
      <c r="G535" s="38"/>
      <c r="H535" s="38"/>
      <c r="I535" s="39"/>
      <c r="J535" s="39"/>
      <c r="K535" s="39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" customHeight="1">
      <c r="A536" s="5"/>
      <c r="B536" s="37"/>
      <c r="C536" s="37"/>
      <c r="D536" s="38"/>
      <c r="E536" s="38"/>
      <c r="F536" s="38"/>
      <c r="G536" s="38"/>
      <c r="H536" s="38"/>
      <c r="I536" s="39"/>
      <c r="J536" s="39"/>
      <c r="K536" s="39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" customHeight="1">
      <c r="A537" s="5"/>
      <c r="B537" s="37"/>
      <c r="C537" s="37"/>
      <c r="D537" s="38"/>
      <c r="E537" s="38"/>
      <c r="F537" s="38"/>
      <c r="G537" s="38"/>
      <c r="H537" s="38"/>
      <c r="I537" s="39"/>
      <c r="J537" s="39"/>
      <c r="K537" s="39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" customHeight="1">
      <c r="A538" s="5"/>
      <c r="B538" s="37"/>
      <c r="C538" s="37"/>
      <c r="D538" s="38"/>
      <c r="E538" s="38"/>
      <c r="F538" s="38"/>
      <c r="G538" s="38"/>
      <c r="H538" s="38"/>
      <c r="I538" s="39"/>
      <c r="J538" s="39"/>
      <c r="K538" s="39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" customHeight="1">
      <c r="A539" s="5"/>
      <c r="B539" s="37"/>
      <c r="C539" s="37"/>
      <c r="D539" s="38"/>
      <c r="E539" s="38"/>
      <c r="F539" s="38"/>
      <c r="G539" s="38"/>
      <c r="H539" s="38"/>
      <c r="I539" s="39"/>
      <c r="J539" s="39"/>
      <c r="K539" s="39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" customHeight="1">
      <c r="A540" s="5"/>
      <c r="B540" s="37"/>
      <c r="C540" s="37"/>
      <c r="D540" s="38"/>
      <c r="E540" s="38"/>
      <c r="F540" s="38"/>
      <c r="G540" s="38"/>
      <c r="H540" s="38"/>
      <c r="I540" s="39"/>
      <c r="J540" s="39"/>
      <c r="K540" s="39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" customHeight="1">
      <c r="A541" s="5"/>
      <c r="B541" s="37"/>
      <c r="C541" s="37"/>
      <c r="D541" s="38"/>
      <c r="E541" s="38"/>
      <c r="F541" s="38"/>
      <c r="G541" s="38"/>
      <c r="H541" s="38"/>
      <c r="I541" s="39"/>
      <c r="J541" s="39"/>
      <c r="K541" s="39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" customHeight="1">
      <c r="A542" s="5"/>
      <c r="B542" s="37"/>
      <c r="C542" s="37"/>
      <c r="D542" s="38"/>
      <c r="E542" s="38"/>
      <c r="F542" s="38"/>
      <c r="G542" s="38"/>
      <c r="H542" s="38"/>
      <c r="I542" s="39"/>
      <c r="J542" s="39"/>
      <c r="K542" s="39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" customHeight="1">
      <c r="A543" s="5"/>
      <c r="B543" s="37"/>
      <c r="C543" s="37"/>
      <c r="D543" s="38"/>
      <c r="E543" s="38"/>
      <c r="F543" s="38"/>
      <c r="G543" s="38"/>
      <c r="H543" s="38"/>
      <c r="I543" s="39"/>
      <c r="J543" s="39"/>
      <c r="K543" s="39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" customHeight="1">
      <c r="A544" s="5"/>
      <c r="B544" s="37"/>
      <c r="C544" s="37"/>
      <c r="D544" s="38"/>
      <c r="E544" s="38"/>
      <c r="F544" s="38"/>
      <c r="G544" s="38"/>
      <c r="H544" s="38"/>
      <c r="I544" s="39"/>
      <c r="J544" s="39"/>
      <c r="K544" s="39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" customHeight="1">
      <c r="A545" s="5"/>
      <c r="B545" s="37"/>
      <c r="C545" s="37"/>
      <c r="D545" s="38"/>
      <c r="E545" s="38"/>
      <c r="F545" s="38"/>
      <c r="G545" s="38"/>
      <c r="H545" s="38"/>
      <c r="I545" s="39"/>
      <c r="J545" s="39"/>
      <c r="K545" s="39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" customHeight="1">
      <c r="A546" s="5"/>
      <c r="B546" s="37"/>
      <c r="C546" s="37"/>
      <c r="D546" s="38"/>
      <c r="E546" s="38"/>
      <c r="F546" s="38"/>
      <c r="G546" s="38"/>
      <c r="H546" s="38"/>
      <c r="I546" s="39"/>
      <c r="J546" s="39"/>
      <c r="K546" s="39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" customHeight="1">
      <c r="A547" s="5"/>
      <c r="B547" s="37"/>
      <c r="C547" s="37"/>
      <c r="D547" s="38"/>
      <c r="E547" s="38"/>
      <c r="F547" s="38"/>
      <c r="G547" s="38"/>
      <c r="H547" s="38"/>
      <c r="I547" s="39"/>
      <c r="J547" s="39"/>
      <c r="K547" s="39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" customHeight="1">
      <c r="A548" s="5"/>
      <c r="B548" s="37"/>
      <c r="C548" s="37"/>
      <c r="D548" s="38"/>
      <c r="E548" s="38"/>
      <c r="F548" s="38"/>
      <c r="G548" s="38"/>
      <c r="H548" s="38"/>
      <c r="I548" s="39"/>
      <c r="J548" s="39"/>
      <c r="K548" s="39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" customHeight="1">
      <c r="A549" s="5"/>
      <c r="B549" s="37"/>
      <c r="C549" s="37"/>
      <c r="D549" s="38"/>
      <c r="E549" s="38"/>
      <c r="F549" s="38"/>
      <c r="G549" s="38"/>
      <c r="H549" s="38"/>
      <c r="I549" s="39"/>
      <c r="J549" s="39"/>
      <c r="K549" s="39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" customHeight="1">
      <c r="A550" s="5"/>
      <c r="B550" s="37"/>
      <c r="C550" s="37"/>
      <c r="D550" s="38"/>
      <c r="E550" s="38"/>
      <c r="F550" s="38"/>
      <c r="G550" s="38"/>
      <c r="H550" s="38"/>
      <c r="I550" s="39"/>
      <c r="J550" s="39"/>
      <c r="K550" s="39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" customHeight="1">
      <c r="A551" s="5"/>
      <c r="B551" s="37"/>
      <c r="C551" s="37"/>
      <c r="D551" s="38"/>
      <c r="E551" s="38"/>
      <c r="F551" s="38"/>
      <c r="G551" s="38"/>
      <c r="H551" s="38"/>
      <c r="I551" s="39"/>
      <c r="J551" s="39"/>
      <c r="K551" s="39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" customHeight="1">
      <c r="A552" s="5"/>
      <c r="B552" s="37"/>
      <c r="C552" s="37"/>
      <c r="D552" s="38"/>
      <c r="E552" s="38"/>
      <c r="F552" s="38"/>
      <c r="G552" s="38"/>
      <c r="H552" s="38"/>
      <c r="I552" s="39"/>
      <c r="J552" s="39"/>
      <c r="K552" s="39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" customHeight="1">
      <c r="A553" s="5"/>
      <c r="B553" s="37"/>
      <c r="C553" s="37"/>
      <c r="D553" s="38"/>
      <c r="E553" s="38"/>
      <c r="F553" s="38"/>
      <c r="G553" s="38"/>
      <c r="H553" s="38"/>
      <c r="I553" s="39"/>
      <c r="J553" s="39"/>
      <c r="K553" s="39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" customHeight="1">
      <c r="A554" s="5"/>
      <c r="B554" s="37"/>
      <c r="C554" s="37"/>
      <c r="D554" s="38"/>
      <c r="E554" s="38"/>
      <c r="F554" s="38"/>
      <c r="G554" s="38"/>
      <c r="H554" s="38"/>
      <c r="I554" s="39"/>
      <c r="J554" s="39"/>
      <c r="K554" s="39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" customHeight="1">
      <c r="A555" s="5"/>
      <c r="B555" s="37"/>
      <c r="C555" s="37"/>
      <c r="D555" s="38"/>
      <c r="E555" s="38"/>
      <c r="F555" s="38"/>
      <c r="G555" s="38"/>
      <c r="H555" s="38"/>
      <c r="I555" s="39"/>
      <c r="J555" s="39"/>
      <c r="K555" s="39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" customHeight="1">
      <c r="A556" s="5"/>
      <c r="B556" s="37"/>
      <c r="C556" s="37"/>
      <c r="D556" s="38"/>
      <c r="E556" s="38"/>
      <c r="F556" s="38"/>
      <c r="G556" s="38"/>
      <c r="H556" s="38"/>
      <c r="I556" s="39"/>
      <c r="J556" s="39"/>
      <c r="K556" s="39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" customHeight="1">
      <c r="A557" s="5"/>
      <c r="B557" s="37"/>
      <c r="C557" s="37"/>
      <c r="D557" s="38"/>
      <c r="E557" s="38"/>
      <c r="F557" s="38"/>
      <c r="G557" s="38"/>
      <c r="H557" s="38"/>
      <c r="I557" s="39"/>
      <c r="J557" s="39"/>
      <c r="K557" s="39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" customHeight="1">
      <c r="A558" s="5"/>
      <c r="B558" s="37"/>
      <c r="C558" s="37"/>
      <c r="D558" s="38"/>
      <c r="E558" s="38"/>
      <c r="F558" s="38"/>
      <c r="G558" s="38"/>
      <c r="H558" s="38"/>
      <c r="I558" s="39"/>
      <c r="J558" s="39"/>
      <c r="K558" s="39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" customHeight="1">
      <c r="A559" s="5"/>
      <c r="B559" s="37"/>
      <c r="C559" s="37"/>
      <c r="D559" s="38"/>
      <c r="E559" s="38"/>
      <c r="F559" s="38"/>
      <c r="G559" s="38"/>
      <c r="H559" s="38"/>
      <c r="I559" s="39"/>
      <c r="J559" s="39"/>
      <c r="K559" s="39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" customHeight="1">
      <c r="A560" s="5"/>
      <c r="B560" s="37"/>
      <c r="C560" s="37"/>
      <c r="D560" s="38"/>
      <c r="E560" s="38"/>
      <c r="F560" s="38"/>
      <c r="G560" s="38"/>
      <c r="H560" s="38"/>
      <c r="I560" s="39"/>
      <c r="J560" s="39"/>
      <c r="K560" s="39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" customHeight="1">
      <c r="A561" s="5"/>
      <c r="B561" s="37"/>
      <c r="C561" s="37"/>
      <c r="D561" s="38"/>
      <c r="E561" s="38"/>
      <c r="F561" s="38"/>
      <c r="G561" s="38"/>
      <c r="H561" s="38"/>
      <c r="I561" s="39"/>
      <c r="J561" s="39"/>
      <c r="K561" s="39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" customHeight="1">
      <c r="A562" s="5"/>
      <c r="B562" s="37"/>
      <c r="C562" s="37"/>
      <c r="D562" s="38"/>
      <c r="E562" s="38"/>
      <c r="F562" s="38"/>
      <c r="G562" s="38"/>
      <c r="H562" s="38"/>
      <c r="I562" s="39"/>
      <c r="J562" s="39"/>
      <c r="K562" s="39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" customHeight="1">
      <c r="A563" s="5"/>
      <c r="B563" s="37"/>
      <c r="C563" s="37"/>
      <c r="D563" s="38"/>
      <c r="E563" s="38"/>
      <c r="F563" s="38"/>
      <c r="G563" s="38"/>
      <c r="H563" s="38"/>
      <c r="I563" s="39"/>
      <c r="J563" s="39"/>
      <c r="K563" s="39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" customHeight="1">
      <c r="A564" s="5"/>
      <c r="B564" s="37"/>
      <c r="C564" s="37"/>
      <c r="D564" s="38"/>
      <c r="E564" s="38"/>
      <c r="F564" s="38"/>
      <c r="G564" s="38"/>
      <c r="H564" s="38"/>
      <c r="I564" s="39"/>
      <c r="J564" s="39"/>
      <c r="K564" s="39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" customHeight="1">
      <c r="A565" s="5"/>
      <c r="B565" s="37"/>
      <c r="C565" s="37"/>
      <c r="D565" s="38"/>
      <c r="E565" s="38"/>
      <c r="F565" s="38"/>
      <c r="G565" s="38"/>
      <c r="H565" s="38"/>
      <c r="I565" s="39"/>
      <c r="J565" s="39"/>
      <c r="K565" s="39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" customHeight="1">
      <c r="A566" s="5"/>
      <c r="B566" s="37"/>
      <c r="C566" s="37"/>
      <c r="D566" s="38"/>
      <c r="E566" s="38"/>
      <c r="F566" s="38"/>
      <c r="G566" s="38"/>
      <c r="H566" s="38"/>
      <c r="I566" s="39"/>
      <c r="J566" s="39"/>
      <c r="K566" s="39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" customHeight="1">
      <c r="A567" s="5"/>
      <c r="B567" s="37"/>
      <c r="C567" s="37"/>
      <c r="D567" s="38"/>
      <c r="E567" s="38"/>
      <c r="F567" s="38"/>
      <c r="G567" s="38"/>
      <c r="H567" s="38"/>
      <c r="I567" s="39"/>
      <c r="J567" s="39"/>
      <c r="K567" s="39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" customHeight="1">
      <c r="A568" s="5"/>
      <c r="B568" s="37"/>
      <c r="C568" s="37"/>
      <c r="D568" s="38"/>
      <c r="E568" s="38"/>
      <c r="F568" s="38"/>
      <c r="G568" s="38"/>
      <c r="H568" s="38"/>
      <c r="I568" s="39"/>
      <c r="J568" s="39"/>
      <c r="K568" s="39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" customHeight="1">
      <c r="A569" s="5"/>
      <c r="B569" s="37"/>
      <c r="C569" s="37"/>
      <c r="D569" s="38"/>
      <c r="E569" s="38"/>
      <c r="F569" s="38"/>
      <c r="G569" s="38"/>
      <c r="H569" s="38"/>
      <c r="I569" s="39"/>
      <c r="J569" s="39"/>
      <c r="K569" s="39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" customHeight="1">
      <c r="A570" s="5"/>
      <c r="B570" s="37"/>
      <c r="C570" s="37"/>
      <c r="D570" s="38"/>
      <c r="E570" s="38"/>
      <c r="F570" s="38"/>
      <c r="G570" s="38"/>
      <c r="H570" s="38"/>
      <c r="I570" s="39"/>
      <c r="J570" s="39"/>
      <c r="K570" s="39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" customHeight="1">
      <c r="A571" s="5"/>
      <c r="B571" s="37"/>
      <c r="C571" s="37"/>
      <c r="D571" s="38"/>
      <c r="E571" s="38"/>
      <c r="F571" s="38"/>
      <c r="G571" s="38"/>
      <c r="H571" s="38"/>
      <c r="I571" s="39"/>
      <c r="J571" s="39"/>
      <c r="K571" s="39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" customHeight="1">
      <c r="A572" s="5"/>
      <c r="B572" s="37"/>
      <c r="C572" s="37"/>
      <c r="D572" s="38"/>
      <c r="E572" s="38"/>
      <c r="F572" s="38"/>
      <c r="G572" s="38"/>
      <c r="H572" s="38"/>
      <c r="I572" s="39"/>
      <c r="J572" s="39"/>
      <c r="K572" s="39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" customHeight="1">
      <c r="A573" s="5"/>
      <c r="B573" s="37"/>
      <c r="C573" s="37"/>
      <c r="D573" s="38"/>
      <c r="E573" s="38"/>
      <c r="F573" s="38"/>
      <c r="G573" s="38"/>
      <c r="H573" s="38"/>
      <c r="I573" s="39"/>
      <c r="J573" s="39"/>
      <c r="K573" s="39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" customHeight="1">
      <c r="A574" s="5"/>
      <c r="B574" s="37"/>
      <c r="C574" s="37"/>
      <c r="D574" s="38"/>
      <c r="E574" s="38"/>
      <c r="F574" s="38"/>
      <c r="G574" s="38"/>
      <c r="H574" s="38"/>
      <c r="I574" s="39"/>
      <c r="J574" s="39"/>
      <c r="K574" s="39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" customHeight="1">
      <c r="A575" s="5"/>
      <c r="B575" s="37"/>
      <c r="C575" s="37"/>
      <c r="D575" s="38"/>
      <c r="E575" s="38"/>
      <c r="F575" s="38"/>
      <c r="G575" s="38"/>
      <c r="H575" s="38"/>
      <c r="I575" s="39"/>
      <c r="J575" s="39"/>
      <c r="K575" s="39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" customHeight="1">
      <c r="A576" s="5"/>
      <c r="B576" s="37"/>
      <c r="C576" s="37"/>
      <c r="D576" s="38"/>
      <c r="E576" s="38"/>
      <c r="F576" s="38"/>
      <c r="G576" s="38"/>
      <c r="H576" s="38"/>
      <c r="I576" s="39"/>
      <c r="J576" s="39"/>
      <c r="K576" s="39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" customHeight="1">
      <c r="A577" s="5"/>
      <c r="B577" s="37"/>
      <c r="C577" s="37"/>
      <c r="D577" s="38"/>
      <c r="E577" s="38"/>
      <c r="F577" s="38"/>
      <c r="G577" s="38"/>
      <c r="H577" s="38"/>
      <c r="I577" s="39"/>
      <c r="J577" s="39"/>
      <c r="K577" s="39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" customHeight="1">
      <c r="A578" s="5"/>
      <c r="B578" s="37"/>
      <c r="C578" s="37"/>
      <c r="D578" s="38"/>
      <c r="E578" s="38"/>
      <c r="F578" s="38"/>
      <c r="G578" s="38"/>
      <c r="H578" s="38"/>
      <c r="I578" s="39"/>
      <c r="J578" s="39"/>
      <c r="K578" s="39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" customHeight="1">
      <c r="A579" s="5"/>
      <c r="B579" s="37"/>
      <c r="C579" s="37"/>
      <c r="D579" s="38"/>
      <c r="E579" s="38"/>
      <c r="F579" s="38"/>
      <c r="G579" s="38"/>
      <c r="H579" s="38"/>
      <c r="I579" s="39"/>
      <c r="J579" s="39"/>
      <c r="K579" s="39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" customHeight="1">
      <c r="A580" s="5"/>
      <c r="B580" s="37"/>
      <c r="C580" s="37"/>
      <c r="D580" s="38"/>
      <c r="E580" s="38"/>
      <c r="F580" s="38"/>
      <c r="G580" s="38"/>
      <c r="H580" s="38"/>
      <c r="I580" s="39"/>
      <c r="J580" s="39"/>
      <c r="K580" s="39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" customHeight="1">
      <c r="A581" s="5"/>
      <c r="B581" s="37"/>
      <c r="C581" s="37"/>
      <c r="D581" s="38"/>
      <c r="E581" s="38"/>
      <c r="F581" s="38"/>
      <c r="G581" s="38"/>
      <c r="H581" s="38"/>
      <c r="I581" s="39"/>
      <c r="J581" s="39"/>
      <c r="K581" s="39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" customHeight="1">
      <c r="A582" s="5"/>
      <c r="B582" s="37"/>
      <c r="C582" s="37"/>
      <c r="D582" s="38"/>
      <c r="E582" s="38"/>
      <c r="F582" s="38"/>
      <c r="G582" s="38"/>
      <c r="H582" s="38"/>
      <c r="I582" s="39"/>
      <c r="J582" s="39"/>
      <c r="K582" s="39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" customHeight="1">
      <c r="A583" s="5"/>
      <c r="B583" s="37"/>
      <c r="C583" s="37"/>
      <c r="D583" s="38"/>
      <c r="E583" s="38"/>
      <c r="F583" s="38"/>
      <c r="G583" s="38"/>
      <c r="H583" s="38"/>
      <c r="I583" s="39"/>
      <c r="J583" s="39"/>
      <c r="K583" s="39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" customHeight="1">
      <c r="A584" s="5"/>
      <c r="B584" s="37"/>
      <c r="C584" s="37"/>
      <c r="D584" s="38"/>
      <c r="E584" s="38"/>
      <c r="F584" s="38"/>
      <c r="G584" s="38"/>
      <c r="H584" s="38"/>
      <c r="I584" s="39"/>
      <c r="J584" s="39"/>
      <c r="K584" s="39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" customHeight="1">
      <c r="A585" s="5"/>
      <c r="B585" s="37"/>
      <c r="C585" s="37"/>
      <c r="D585" s="38"/>
      <c r="E585" s="38"/>
      <c r="F585" s="38"/>
      <c r="G585" s="38"/>
      <c r="H585" s="38"/>
      <c r="I585" s="39"/>
      <c r="J585" s="39"/>
      <c r="K585" s="39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" customHeight="1">
      <c r="A586" s="5"/>
      <c r="B586" s="37"/>
      <c r="C586" s="37"/>
      <c r="D586" s="38"/>
      <c r="E586" s="38"/>
      <c r="F586" s="38"/>
      <c r="G586" s="38"/>
      <c r="H586" s="38"/>
      <c r="I586" s="39"/>
      <c r="J586" s="39"/>
      <c r="K586" s="39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" customHeight="1">
      <c r="A587" s="5"/>
      <c r="B587" s="37"/>
      <c r="C587" s="37"/>
      <c r="D587" s="38"/>
      <c r="E587" s="38"/>
      <c r="F587" s="38"/>
      <c r="G587" s="38"/>
      <c r="H587" s="38"/>
      <c r="I587" s="39"/>
      <c r="J587" s="39"/>
      <c r="K587" s="39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" customHeight="1">
      <c r="A588" s="5"/>
      <c r="B588" s="37"/>
      <c r="C588" s="37"/>
      <c r="D588" s="38"/>
      <c r="E588" s="38"/>
      <c r="F588" s="38"/>
      <c r="G588" s="38"/>
      <c r="H588" s="38"/>
      <c r="I588" s="39"/>
      <c r="J588" s="39"/>
      <c r="K588" s="39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" customHeight="1">
      <c r="A589" s="5"/>
      <c r="B589" s="37"/>
      <c r="C589" s="37"/>
      <c r="D589" s="38"/>
      <c r="E589" s="38"/>
      <c r="F589" s="38"/>
      <c r="G589" s="38"/>
      <c r="H589" s="38"/>
      <c r="I589" s="39"/>
      <c r="J589" s="39"/>
      <c r="K589" s="39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" customHeight="1">
      <c r="A590" s="5"/>
      <c r="B590" s="37"/>
      <c r="C590" s="37"/>
      <c r="D590" s="38"/>
      <c r="E590" s="38"/>
      <c r="F590" s="38"/>
      <c r="G590" s="38"/>
      <c r="H590" s="38"/>
      <c r="I590" s="39"/>
      <c r="J590" s="39"/>
      <c r="K590" s="39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" customHeight="1">
      <c r="A591" s="5"/>
      <c r="B591" s="37"/>
      <c r="C591" s="37"/>
      <c r="D591" s="38"/>
      <c r="E591" s="38"/>
      <c r="F591" s="38"/>
      <c r="G591" s="38"/>
      <c r="H591" s="38"/>
      <c r="I591" s="39"/>
      <c r="J591" s="39"/>
      <c r="K591" s="39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" customHeight="1">
      <c r="A592" s="5"/>
      <c r="B592" s="37"/>
      <c r="C592" s="37"/>
      <c r="D592" s="38"/>
      <c r="E592" s="38"/>
      <c r="F592" s="38"/>
      <c r="G592" s="38"/>
      <c r="H592" s="38"/>
      <c r="I592" s="39"/>
      <c r="J592" s="39"/>
      <c r="K592" s="39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" customHeight="1">
      <c r="A593" s="5"/>
      <c r="B593" s="37"/>
      <c r="C593" s="37"/>
      <c r="D593" s="38"/>
      <c r="E593" s="38"/>
      <c r="F593" s="38"/>
      <c r="G593" s="38"/>
      <c r="H593" s="38"/>
      <c r="I593" s="39"/>
      <c r="J593" s="39"/>
      <c r="K593" s="39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" customHeight="1">
      <c r="A594" s="5"/>
      <c r="B594" s="37"/>
      <c r="C594" s="37"/>
      <c r="D594" s="38"/>
      <c r="E594" s="38"/>
      <c r="F594" s="38"/>
      <c r="G594" s="38"/>
      <c r="H594" s="38"/>
      <c r="I594" s="39"/>
      <c r="J594" s="39"/>
      <c r="K594" s="39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" customHeight="1">
      <c r="A595" s="5"/>
      <c r="B595" s="37"/>
      <c r="C595" s="37"/>
      <c r="D595" s="38"/>
      <c r="E595" s="38"/>
      <c r="F595" s="38"/>
      <c r="G595" s="38"/>
      <c r="H595" s="38"/>
      <c r="I595" s="39"/>
      <c r="J595" s="39"/>
      <c r="K595" s="39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" customHeight="1">
      <c r="A596" s="5"/>
      <c r="B596" s="37"/>
      <c r="C596" s="37"/>
      <c r="D596" s="38"/>
      <c r="E596" s="38"/>
      <c r="F596" s="38"/>
      <c r="G596" s="38"/>
      <c r="H596" s="38"/>
      <c r="I596" s="39"/>
      <c r="J596" s="39"/>
      <c r="K596" s="39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" customHeight="1">
      <c r="A597" s="5"/>
      <c r="B597" s="37"/>
      <c r="C597" s="37"/>
      <c r="D597" s="38"/>
      <c r="E597" s="38"/>
      <c r="F597" s="38"/>
      <c r="G597" s="38"/>
      <c r="H597" s="38"/>
      <c r="I597" s="39"/>
      <c r="J597" s="39"/>
      <c r="K597" s="39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" customHeight="1">
      <c r="A598" s="5"/>
      <c r="B598" s="37"/>
      <c r="C598" s="37"/>
      <c r="D598" s="38"/>
      <c r="E598" s="38"/>
      <c r="F598" s="38"/>
      <c r="G598" s="38"/>
      <c r="H598" s="38"/>
      <c r="I598" s="39"/>
      <c r="J598" s="39"/>
      <c r="K598" s="39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" customHeight="1">
      <c r="A599" s="5"/>
      <c r="B599" s="37"/>
      <c r="C599" s="37"/>
      <c r="D599" s="38"/>
      <c r="E599" s="38"/>
      <c r="F599" s="38"/>
      <c r="G599" s="38"/>
      <c r="H599" s="38"/>
      <c r="I599" s="39"/>
      <c r="J599" s="39"/>
      <c r="K599" s="39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" customHeight="1">
      <c r="A600" s="5"/>
      <c r="B600" s="37"/>
      <c r="C600" s="37"/>
      <c r="D600" s="38"/>
      <c r="E600" s="38"/>
      <c r="F600" s="38"/>
      <c r="G600" s="38"/>
      <c r="H600" s="38"/>
      <c r="I600" s="39"/>
      <c r="J600" s="39"/>
      <c r="K600" s="39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" customHeight="1">
      <c r="A601" s="5"/>
      <c r="B601" s="37"/>
      <c r="C601" s="37"/>
      <c r="D601" s="38"/>
      <c r="E601" s="38"/>
      <c r="F601" s="38"/>
      <c r="G601" s="38"/>
      <c r="H601" s="38"/>
      <c r="I601" s="39"/>
      <c r="J601" s="39"/>
      <c r="K601" s="39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" customHeight="1">
      <c r="A602" s="5"/>
      <c r="B602" s="37"/>
      <c r="C602" s="37"/>
      <c r="D602" s="38"/>
      <c r="E602" s="38"/>
      <c r="F602" s="38"/>
      <c r="G602" s="38"/>
      <c r="H602" s="38"/>
      <c r="I602" s="39"/>
      <c r="J602" s="39"/>
      <c r="K602" s="39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" customHeight="1">
      <c r="A603" s="5"/>
      <c r="B603" s="37"/>
      <c r="C603" s="37"/>
      <c r="D603" s="38"/>
      <c r="E603" s="38"/>
      <c r="F603" s="38"/>
      <c r="G603" s="38"/>
      <c r="H603" s="38"/>
      <c r="I603" s="39"/>
      <c r="J603" s="39"/>
      <c r="K603" s="39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" customHeight="1">
      <c r="A604" s="5"/>
      <c r="B604" s="37"/>
      <c r="C604" s="37"/>
      <c r="D604" s="38"/>
      <c r="E604" s="38"/>
      <c r="F604" s="38"/>
      <c r="G604" s="38"/>
      <c r="H604" s="38"/>
      <c r="I604" s="39"/>
      <c r="J604" s="39"/>
      <c r="K604" s="39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" customHeight="1">
      <c r="A605" s="5"/>
      <c r="B605" s="37"/>
      <c r="C605" s="37"/>
      <c r="D605" s="38"/>
      <c r="E605" s="38"/>
      <c r="F605" s="38"/>
      <c r="G605" s="38"/>
      <c r="H605" s="38"/>
      <c r="I605" s="39"/>
      <c r="J605" s="39"/>
      <c r="K605" s="39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" customHeight="1">
      <c r="A606" s="5"/>
      <c r="B606" s="37"/>
      <c r="C606" s="37"/>
      <c r="D606" s="38"/>
      <c r="E606" s="38"/>
      <c r="F606" s="38"/>
      <c r="G606" s="38"/>
      <c r="H606" s="38"/>
      <c r="I606" s="39"/>
      <c r="J606" s="39"/>
      <c r="K606" s="39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" customHeight="1">
      <c r="A607" s="5"/>
      <c r="B607" s="37"/>
      <c r="C607" s="37"/>
      <c r="D607" s="38"/>
      <c r="E607" s="38"/>
      <c r="F607" s="38"/>
      <c r="G607" s="38"/>
      <c r="H607" s="38"/>
      <c r="I607" s="39"/>
      <c r="J607" s="39"/>
      <c r="K607" s="39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" customHeight="1">
      <c r="A608" s="5"/>
      <c r="B608" s="37"/>
      <c r="C608" s="37"/>
      <c r="D608" s="38"/>
      <c r="E608" s="38"/>
      <c r="F608" s="38"/>
      <c r="G608" s="38"/>
      <c r="H608" s="38"/>
      <c r="I608" s="39"/>
      <c r="J608" s="39"/>
      <c r="K608" s="39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" customHeight="1">
      <c r="A609" s="5"/>
      <c r="B609" s="37"/>
      <c r="C609" s="37"/>
      <c r="D609" s="38"/>
      <c r="E609" s="38"/>
      <c r="F609" s="38"/>
      <c r="G609" s="38"/>
      <c r="H609" s="38"/>
      <c r="I609" s="39"/>
      <c r="J609" s="39"/>
      <c r="K609" s="39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" customHeight="1">
      <c r="A610" s="5"/>
      <c r="B610" s="37"/>
      <c r="C610" s="37"/>
      <c r="D610" s="38"/>
      <c r="E610" s="38"/>
      <c r="F610" s="38"/>
      <c r="G610" s="38"/>
      <c r="H610" s="38"/>
      <c r="I610" s="39"/>
      <c r="J610" s="39"/>
      <c r="K610" s="39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" customHeight="1">
      <c r="A611" s="5"/>
      <c r="B611" s="37"/>
      <c r="C611" s="37"/>
      <c r="D611" s="38"/>
      <c r="E611" s="38"/>
      <c r="F611" s="38"/>
      <c r="G611" s="38"/>
      <c r="H611" s="38"/>
      <c r="I611" s="39"/>
      <c r="J611" s="39"/>
      <c r="K611" s="39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" customHeight="1">
      <c r="A612" s="5"/>
      <c r="B612" s="37"/>
      <c r="C612" s="37"/>
      <c r="D612" s="38"/>
      <c r="E612" s="38"/>
      <c r="F612" s="38"/>
      <c r="G612" s="38"/>
      <c r="H612" s="38"/>
      <c r="I612" s="39"/>
      <c r="J612" s="39"/>
      <c r="K612" s="39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" customHeight="1">
      <c r="A613" s="5"/>
      <c r="B613" s="37"/>
      <c r="C613" s="37"/>
      <c r="D613" s="38"/>
      <c r="E613" s="38"/>
      <c r="F613" s="38"/>
      <c r="G613" s="38"/>
      <c r="H613" s="38"/>
      <c r="I613" s="39"/>
      <c r="J613" s="39"/>
      <c r="K613" s="39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" customHeight="1">
      <c r="A614" s="5"/>
      <c r="B614" s="37"/>
      <c r="C614" s="37"/>
      <c r="D614" s="38"/>
      <c r="E614" s="38"/>
      <c r="F614" s="38"/>
      <c r="G614" s="38"/>
      <c r="H614" s="38"/>
      <c r="I614" s="39"/>
      <c r="J614" s="39"/>
      <c r="K614" s="39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" customHeight="1">
      <c r="A615" s="5"/>
      <c r="B615" s="37"/>
      <c r="C615" s="37"/>
      <c r="D615" s="38"/>
      <c r="E615" s="38"/>
      <c r="F615" s="38"/>
      <c r="G615" s="38"/>
      <c r="H615" s="38"/>
      <c r="I615" s="39"/>
      <c r="J615" s="39"/>
      <c r="K615" s="39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" customHeight="1">
      <c r="A616" s="5"/>
      <c r="B616" s="37"/>
      <c r="C616" s="37"/>
      <c r="D616" s="38"/>
      <c r="E616" s="38"/>
      <c r="F616" s="38"/>
      <c r="G616" s="38"/>
      <c r="H616" s="38"/>
      <c r="I616" s="39"/>
      <c r="J616" s="39"/>
      <c r="K616" s="39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" customHeight="1">
      <c r="A617" s="5"/>
      <c r="B617" s="37"/>
      <c r="C617" s="37"/>
      <c r="D617" s="38"/>
      <c r="E617" s="38"/>
      <c r="F617" s="38"/>
      <c r="G617" s="38"/>
      <c r="H617" s="38"/>
      <c r="I617" s="39"/>
      <c r="J617" s="39"/>
      <c r="K617" s="39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" customHeight="1">
      <c r="A618" s="5"/>
      <c r="B618" s="37"/>
      <c r="C618" s="37"/>
      <c r="D618" s="38"/>
      <c r="E618" s="38"/>
      <c r="F618" s="38"/>
      <c r="G618" s="38"/>
      <c r="H618" s="38"/>
      <c r="I618" s="39"/>
      <c r="J618" s="39"/>
      <c r="K618" s="39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" customHeight="1">
      <c r="A619" s="5"/>
      <c r="B619" s="37"/>
      <c r="C619" s="37"/>
      <c r="D619" s="38"/>
      <c r="E619" s="38"/>
      <c r="F619" s="38"/>
      <c r="G619" s="38"/>
      <c r="H619" s="38"/>
      <c r="I619" s="39"/>
      <c r="J619" s="39"/>
      <c r="K619" s="39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" customHeight="1">
      <c r="A620" s="5"/>
      <c r="B620" s="37"/>
      <c r="C620" s="37"/>
      <c r="D620" s="38"/>
      <c r="E620" s="38"/>
      <c r="F620" s="38"/>
      <c r="G620" s="38"/>
      <c r="H620" s="38"/>
      <c r="I620" s="39"/>
      <c r="J620" s="39"/>
      <c r="K620" s="39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" customHeight="1">
      <c r="A621" s="5"/>
      <c r="B621" s="37"/>
      <c r="C621" s="37"/>
      <c r="D621" s="38"/>
      <c r="E621" s="38"/>
      <c r="F621" s="38"/>
      <c r="G621" s="38"/>
      <c r="H621" s="38"/>
      <c r="I621" s="39"/>
      <c r="J621" s="39"/>
      <c r="K621" s="39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" customHeight="1">
      <c r="A622" s="5"/>
      <c r="B622" s="37"/>
      <c r="C622" s="37"/>
      <c r="D622" s="38"/>
      <c r="E622" s="38"/>
      <c r="F622" s="38"/>
      <c r="G622" s="38"/>
      <c r="H622" s="38"/>
      <c r="I622" s="39"/>
      <c r="J622" s="39"/>
      <c r="K622" s="39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" customHeight="1">
      <c r="A623" s="5"/>
      <c r="B623" s="37"/>
      <c r="C623" s="37"/>
      <c r="D623" s="38"/>
      <c r="E623" s="38"/>
      <c r="F623" s="38"/>
      <c r="G623" s="38"/>
      <c r="H623" s="38"/>
      <c r="I623" s="39"/>
      <c r="J623" s="39"/>
      <c r="K623" s="39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" customHeight="1">
      <c r="A624" s="5"/>
      <c r="B624" s="37"/>
      <c r="C624" s="37"/>
      <c r="D624" s="38"/>
      <c r="E624" s="38"/>
      <c r="F624" s="38"/>
      <c r="G624" s="38"/>
      <c r="H624" s="38"/>
      <c r="I624" s="39"/>
      <c r="J624" s="39"/>
      <c r="K624" s="39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" customHeight="1">
      <c r="A625" s="5"/>
      <c r="B625" s="37"/>
      <c r="C625" s="37"/>
      <c r="D625" s="38"/>
      <c r="E625" s="38"/>
      <c r="F625" s="38"/>
      <c r="G625" s="38"/>
      <c r="H625" s="38"/>
      <c r="I625" s="39"/>
      <c r="J625" s="39"/>
      <c r="K625" s="39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" customHeight="1">
      <c r="A626" s="5"/>
      <c r="B626" s="37"/>
      <c r="C626" s="37"/>
      <c r="D626" s="38"/>
      <c r="E626" s="38"/>
      <c r="F626" s="38"/>
      <c r="G626" s="38"/>
      <c r="H626" s="38"/>
      <c r="I626" s="39"/>
      <c r="J626" s="39"/>
      <c r="K626" s="39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" customHeight="1">
      <c r="A627" s="5"/>
      <c r="B627" s="37"/>
      <c r="C627" s="37"/>
      <c r="D627" s="38"/>
      <c r="E627" s="38"/>
      <c r="F627" s="38"/>
      <c r="G627" s="38"/>
      <c r="H627" s="38"/>
      <c r="I627" s="39"/>
      <c r="J627" s="39"/>
      <c r="K627" s="39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" customHeight="1">
      <c r="A628" s="5"/>
      <c r="B628" s="37"/>
      <c r="C628" s="37"/>
      <c r="D628" s="38"/>
      <c r="E628" s="38"/>
      <c r="F628" s="38"/>
      <c r="G628" s="38"/>
      <c r="H628" s="38"/>
      <c r="I628" s="39"/>
      <c r="J628" s="39"/>
      <c r="K628" s="39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" customHeight="1">
      <c r="A629" s="5"/>
      <c r="B629" s="37"/>
      <c r="C629" s="37"/>
      <c r="D629" s="38"/>
      <c r="E629" s="38"/>
      <c r="F629" s="38"/>
      <c r="G629" s="38"/>
      <c r="H629" s="38"/>
      <c r="I629" s="39"/>
      <c r="J629" s="39"/>
      <c r="K629" s="39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" customHeight="1">
      <c r="A630" s="5"/>
      <c r="B630" s="37"/>
      <c r="C630" s="37"/>
      <c r="D630" s="38"/>
      <c r="E630" s="38"/>
      <c r="F630" s="38"/>
      <c r="G630" s="38"/>
      <c r="H630" s="38"/>
      <c r="I630" s="39"/>
      <c r="J630" s="39"/>
      <c r="K630" s="39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" customHeight="1">
      <c r="A631" s="5"/>
      <c r="B631" s="37"/>
      <c r="C631" s="37"/>
      <c r="D631" s="38"/>
      <c r="E631" s="38"/>
      <c r="F631" s="38"/>
      <c r="G631" s="38"/>
      <c r="H631" s="38"/>
      <c r="I631" s="39"/>
      <c r="J631" s="39"/>
      <c r="K631" s="39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" customHeight="1">
      <c r="A632" s="5"/>
      <c r="B632" s="37"/>
      <c r="C632" s="37"/>
      <c r="D632" s="38"/>
      <c r="E632" s="38"/>
      <c r="F632" s="38"/>
      <c r="G632" s="38"/>
      <c r="H632" s="38"/>
      <c r="I632" s="39"/>
      <c r="J632" s="39"/>
      <c r="K632" s="39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" customHeight="1">
      <c r="A633" s="5"/>
      <c r="B633" s="37"/>
      <c r="C633" s="37"/>
      <c r="D633" s="38"/>
      <c r="E633" s="38"/>
      <c r="F633" s="38"/>
      <c r="G633" s="38"/>
      <c r="H633" s="38"/>
      <c r="I633" s="39"/>
      <c r="J633" s="39"/>
      <c r="K633" s="39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" customHeight="1">
      <c r="A634" s="5"/>
      <c r="B634" s="37"/>
      <c r="C634" s="37"/>
      <c r="D634" s="38"/>
      <c r="E634" s="38"/>
      <c r="F634" s="38"/>
      <c r="G634" s="38"/>
      <c r="H634" s="38"/>
      <c r="I634" s="39"/>
      <c r="J634" s="39"/>
      <c r="K634" s="39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" customHeight="1">
      <c r="A635" s="5"/>
      <c r="B635" s="37"/>
      <c r="C635" s="37"/>
      <c r="D635" s="38"/>
      <c r="E635" s="38"/>
      <c r="F635" s="38"/>
      <c r="G635" s="38"/>
      <c r="H635" s="38"/>
      <c r="I635" s="39"/>
      <c r="J635" s="39"/>
      <c r="K635" s="39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" customHeight="1">
      <c r="A636" s="5"/>
      <c r="B636" s="37"/>
      <c r="C636" s="37"/>
      <c r="D636" s="38"/>
      <c r="E636" s="38"/>
      <c r="F636" s="38"/>
      <c r="G636" s="38"/>
      <c r="H636" s="38"/>
      <c r="I636" s="39"/>
      <c r="J636" s="39"/>
      <c r="K636" s="39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" customHeight="1">
      <c r="A637" s="5"/>
      <c r="B637" s="37"/>
      <c r="C637" s="37"/>
      <c r="D637" s="38"/>
      <c r="E637" s="38"/>
      <c r="F637" s="38"/>
      <c r="G637" s="38"/>
      <c r="H637" s="38"/>
      <c r="I637" s="39"/>
      <c r="J637" s="39"/>
      <c r="K637" s="39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" customHeight="1">
      <c r="A638" s="5"/>
      <c r="B638" s="37"/>
      <c r="C638" s="37"/>
      <c r="D638" s="38"/>
      <c r="E638" s="38"/>
      <c r="F638" s="38"/>
      <c r="G638" s="38"/>
      <c r="H638" s="38"/>
      <c r="I638" s="39"/>
      <c r="J638" s="39"/>
      <c r="K638" s="39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" customHeight="1">
      <c r="A639" s="5"/>
      <c r="B639" s="37"/>
      <c r="C639" s="37"/>
      <c r="D639" s="38"/>
      <c r="E639" s="38"/>
      <c r="F639" s="38"/>
      <c r="G639" s="38"/>
      <c r="H639" s="38"/>
      <c r="I639" s="39"/>
      <c r="J639" s="39"/>
      <c r="K639" s="39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" customHeight="1">
      <c r="A640" s="5"/>
      <c r="B640" s="37"/>
      <c r="C640" s="37"/>
      <c r="D640" s="38"/>
      <c r="E640" s="38"/>
      <c r="F640" s="38"/>
      <c r="G640" s="38"/>
      <c r="H640" s="38"/>
      <c r="I640" s="39"/>
      <c r="J640" s="39"/>
      <c r="K640" s="39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" customHeight="1">
      <c r="A641" s="5"/>
      <c r="B641" s="37"/>
      <c r="C641" s="37"/>
      <c r="D641" s="38"/>
      <c r="E641" s="38"/>
      <c r="F641" s="38"/>
      <c r="G641" s="38"/>
      <c r="H641" s="38"/>
      <c r="I641" s="39"/>
      <c r="J641" s="39"/>
      <c r="K641" s="39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" customHeight="1">
      <c r="A642" s="5"/>
      <c r="B642" s="37"/>
      <c r="C642" s="37"/>
      <c r="D642" s="38"/>
      <c r="E642" s="38"/>
      <c r="F642" s="38"/>
      <c r="G642" s="38"/>
      <c r="H642" s="38"/>
      <c r="I642" s="39"/>
      <c r="J642" s="39"/>
      <c r="K642" s="39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" customHeight="1">
      <c r="A643" s="5"/>
      <c r="B643" s="37"/>
      <c r="C643" s="37"/>
      <c r="D643" s="38"/>
      <c r="E643" s="38"/>
      <c r="F643" s="38"/>
      <c r="G643" s="38"/>
      <c r="H643" s="38"/>
      <c r="I643" s="39"/>
      <c r="J643" s="39"/>
      <c r="K643" s="39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" customHeight="1">
      <c r="A644" s="5"/>
      <c r="B644" s="37"/>
      <c r="C644" s="37"/>
      <c r="D644" s="38"/>
      <c r="E644" s="38"/>
      <c r="F644" s="38"/>
      <c r="G644" s="38"/>
      <c r="H644" s="38"/>
      <c r="I644" s="39"/>
      <c r="J644" s="39"/>
      <c r="K644" s="39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" customHeight="1">
      <c r="A645" s="5"/>
      <c r="B645" s="37"/>
      <c r="C645" s="37"/>
      <c r="D645" s="38"/>
      <c r="E645" s="38"/>
      <c r="F645" s="38"/>
      <c r="G645" s="38"/>
      <c r="H645" s="38"/>
      <c r="I645" s="39"/>
      <c r="J645" s="39"/>
      <c r="K645" s="39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" customHeight="1">
      <c r="A646" s="5"/>
      <c r="B646" s="37"/>
      <c r="C646" s="37"/>
      <c r="D646" s="38"/>
      <c r="E646" s="38"/>
      <c r="F646" s="38"/>
      <c r="G646" s="38"/>
      <c r="H646" s="38"/>
      <c r="I646" s="39"/>
      <c r="J646" s="39"/>
      <c r="K646" s="39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" customHeight="1">
      <c r="A647" s="5"/>
      <c r="B647" s="37"/>
      <c r="C647" s="37"/>
      <c r="D647" s="38"/>
      <c r="E647" s="38"/>
      <c r="F647" s="38"/>
      <c r="G647" s="38"/>
      <c r="H647" s="38"/>
      <c r="I647" s="39"/>
      <c r="J647" s="39"/>
      <c r="K647" s="39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" customHeight="1">
      <c r="A648" s="5"/>
      <c r="B648" s="37"/>
      <c r="C648" s="37"/>
      <c r="D648" s="38"/>
      <c r="E648" s="38"/>
      <c r="F648" s="38"/>
      <c r="G648" s="38"/>
      <c r="H648" s="38"/>
      <c r="I648" s="39"/>
      <c r="J648" s="39"/>
      <c r="K648" s="39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" customHeight="1">
      <c r="A649" s="5"/>
      <c r="B649" s="37"/>
      <c r="C649" s="37"/>
      <c r="D649" s="38"/>
      <c r="E649" s="38"/>
      <c r="F649" s="38"/>
      <c r="G649" s="38"/>
      <c r="H649" s="38"/>
      <c r="I649" s="39"/>
      <c r="J649" s="39"/>
      <c r="K649" s="39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" customHeight="1">
      <c r="A650" s="5"/>
      <c r="B650" s="37"/>
      <c r="C650" s="37"/>
      <c r="D650" s="38"/>
      <c r="E650" s="38"/>
      <c r="F650" s="38"/>
      <c r="G650" s="38"/>
      <c r="H650" s="38"/>
      <c r="I650" s="39"/>
      <c r="J650" s="39"/>
      <c r="K650" s="39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" customHeight="1">
      <c r="A651" s="5"/>
      <c r="B651" s="37"/>
      <c r="C651" s="37"/>
      <c r="D651" s="38"/>
      <c r="E651" s="38"/>
      <c r="F651" s="38"/>
      <c r="G651" s="38"/>
      <c r="H651" s="38"/>
      <c r="I651" s="39"/>
      <c r="J651" s="39"/>
      <c r="K651" s="39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" customHeight="1">
      <c r="A652" s="5"/>
      <c r="B652" s="37"/>
      <c r="C652" s="37"/>
      <c r="D652" s="38"/>
      <c r="E652" s="38"/>
      <c r="F652" s="38"/>
      <c r="G652" s="38"/>
      <c r="H652" s="38"/>
      <c r="I652" s="39"/>
      <c r="J652" s="39"/>
      <c r="K652" s="39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" customHeight="1">
      <c r="A653" s="5"/>
      <c r="B653" s="37"/>
      <c r="C653" s="37"/>
      <c r="D653" s="38"/>
      <c r="E653" s="38"/>
      <c r="F653" s="38"/>
      <c r="G653" s="38"/>
      <c r="H653" s="38"/>
      <c r="I653" s="39"/>
      <c r="J653" s="39"/>
      <c r="K653" s="39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" customHeight="1">
      <c r="A654" s="5"/>
      <c r="B654" s="37"/>
      <c r="C654" s="37"/>
      <c r="D654" s="38"/>
      <c r="E654" s="38"/>
      <c r="F654" s="38"/>
      <c r="G654" s="38"/>
      <c r="H654" s="38"/>
      <c r="I654" s="39"/>
      <c r="J654" s="39"/>
      <c r="K654" s="39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" customHeight="1">
      <c r="A655" s="5"/>
      <c r="B655" s="37"/>
      <c r="C655" s="37"/>
      <c r="D655" s="38"/>
      <c r="E655" s="38"/>
      <c r="F655" s="38"/>
      <c r="G655" s="38"/>
      <c r="H655" s="38"/>
      <c r="I655" s="39"/>
      <c r="J655" s="39"/>
      <c r="K655" s="39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" customHeight="1">
      <c r="A656" s="5"/>
      <c r="B656" s="37"/>
      <c r="C656" s="37"/>
      <c r="D656" s="38"/>
      <c r="E656" s="38"/>
      <c r="F656" s="38"/>
      <c r="G656" s="38"/>
      <c r="H656" s="38"/>
      <c r="I656" s="39"/>
      <c r="J656" s="39"/>
      <c r="K656" s="39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" customHeight="1">
      <c r="A657" s="5"/>
      <c r="B657" s="37"/>
      <c r="C657" s="37"/>
      <c r="D657" s="38"/>
      <c r="E657" s="38"/>
      <c r="F657" s="38"/>
      <c r="G657" s="38"/>
      <c r="H657" s="38"/>
      <c r="I657" s="39"/>
      <c r="J657" s="39"/>
      <c r="K657" s="39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" customHeight="1">
      <c r="A658" s="5"/>
      <c r="B658" s="37"/>
      <c r="C658" s="37"/>
      <c r="D658" s="38"/>
      <c r="E658" s="38"/>
      <c r="F658" s="38"/>
      <c r="G658" s="38"/>
      <c r="H658" s="38"/>
      <c r="I658" s="39"/>
      <c r="J658" s="39"/>
      <c r="K658" s="39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" customHeight="1">
      <c r="A659" s="5"/>
      <c r="B659" s="37"/>
      <c r="C659" s="37"/>
      <c r="D659" s="38"/>
      <c r="E659" s="38"/>
      <c r="F659" s="38"/>
      <c r="G659" s="38"/>
      <c r="H659" s="38"/>
      <c r="I659" s="39"/>
      <c r="J659" s="39"/>
      <c r="K659" s="39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" customHeight="1">
      <c r="A660" s="5"/>
      <c r="B660" s="37"/>
      <c r="C660" s="37"/>
      <c r="D660" s="38"/>
      <c r="E660" s="38"/>
      <c r="F660" s="38"/>
      <c r="G660" s="38"/>
      <c r="H660" s="38"/>
      <c r="I660" s="39"/>
      <c r="J660" s="39"/>
      <c r="K660" s="39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" customHeight="1">
      <c r="A661" s="5"/>
      <c r="B661" s="37"/>
      <c r="C661" s="37"/>
      <c r="D661" s="38"/>
      <c r="E661" s="38"/>
      <c r="F661" s="38"/>
      <c r="G661" s="38"/>
      <c r="H661" s="38"/>
      <c r="I661" s="39"/>
      <c r="J661" s="39"/>
      <c r="K661" s="39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" customHeight="1">
      <c r="A662" s="5"/>
      <c r="B662" s="37"/>
      <c r="C662" s="37"/>
      <c r="D662" s="38"/>
      <c r="E662" s="38"/>
      <c r="F662" s="38"/>
      <c r="G662" s="38"/>
      <c r="H662" s="38"/>
      <c r="I662" s="39"/>
      <c r="J662" s="39"/>
      <c r="K662" s="39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" customHeight="1">
      <c r="A663" s="5"/>
      <c r="B663" s="37"/>
      <c r="C663" s="37"/>
      <c r="D663" s="38"/>
      <c r="E663" s="38"/>
      <c r="F663" s="38"/>
      <c r="G663" s="38"/>
      <c r="H663" s="38"/>
      <c r="I663" s="39"/>
      <c r="J663" s="39"/>
      <c r="K663" s="39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" customHeight="1">
      <c r="A664" s="5"/>
      <c r="B664" s="37"/>
      <c r="C664" s="37"/>
      <c r="D664" s="38"/>
      <c r="E664" s="38"/>
      <c r="F664" s="38"/>
      <c r="G664" s="38"/>
      <c r="H664" s="38"/>
      <c r="I664" s="39"/>
      <c r="J664" s="39"/>
      <c r="K664" s="39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" customHeight="1">
      <c r="A665" s="5"/>
      <c r="B665" s="37"/>
      <c r="C665" s="37"/>
      <c r="D665" s="38"/>
      <c r="E665" s="38"/>
      <c r="F665" s="38"/>
      <c r="G665" s="38"/>
      <c r="H665" s="38"/>
      <c r="I665" s="39"/>
      <c r="J665" s="39"/>
      <c r="K665" s="39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" customHeight="1">
      <c r="A666" s="5"/>
      <c r="B666" s="37"/>
      <c r="C666" s="37"/>
      <c r="D666" s="38"/>
      <c r="E666" s="38"/>
      <c r="F666" s="38"/>
      <c r="G666" s="38"/>
      <c r="H666" s="38"/>
      <c r="I666" s="39"/>
      <c r="J666" s="39"/>
      <c r="K666" s="39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" customHeight="1">
      <c r="A667" s="5"/>
      <c r="B667" s="37"/>
      <c r="C667" s="37"/>
      <c r="D667" s="38"/>
      <c r="E667" s="38"/>
      <c r="F667" s="38"/>
      <c r="G667" s="38"/>
      <c r="H667" s="38"/>
      <c r="I667" s="39"/>
      <c r="J667" s="39"/>
      <c r="K667" s="39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" customHeight="1">
      <c r="A668" s="5"/>
      <c r="B668" s="37"/>
      <c r="C668" s="37"/>
      <c r="D668" s="38"/>
      <c r="E668" s="38"/>
      <c r="F668" s="38"/>
      <c r="G668" s="38"/>
      <c r="H668" s="38"/>
      <c r="I668" s="39"/>
      <c r="J668" s="39"/>
      <c r="K668" s="39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" customHeight="1">
      <c r="A669" s="5"/>
      <c r="B669" s="37"/>
      <c r="C669" s="37"/>
      <c r="D669" s="38"/>
      <c r="E669" s="38"/>
      <c r="F669" s="38"/>
      <c r="G669" s="38"/>
      <c r="H669" s="38"/>
      <c r="I669" s="39"/>
      <c r="J669" s="39"/>
      <c r="K669" s="39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" customHeight="1">
      <c r="A670" s="5"/>
      <c r="B670" s="37"/>
      <c r="C670" s="37"/>
      <c r="D670" s="38"/>
      <c r="E670" s="38"/>
      <c r="F670" s="38"/>
      <c r="G670" s="38"/>
      <c r="H670" s="38"/>
      <c r="I670" s="39"/>
      <c r="J670" s="39"/>
      <c r="K670" s="39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" customHeight="1">
      <c r="A671" s="5"/>
      <c r="B671" s="37"/>
      <c r="C671" s="37"/>
      <c r="D671" s="38"/>
      <c r="E671" s="38"/>
      <c r="F671" s="38"/>
      <c r="G671" s="38"/>
      <c r="H671" s="38"/>
      <c r="I671" s="39"/>
      <c r="J671" s="39"/>
      <c r="K671" s="39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" customHeight="1">
      <c r="A672" s="5"/>
      <c r="B672" s="37"/>
      <c r="C672" s="37"/>
      <c r="D672" s="38"/>
      <c r="E672" s="38"/>
      <c r="F672" s="38"/>
      <c r="G672" s="38"/>
      <c r="H672" s="38"/>
      <c r="I672" s="39"/>
      <c r="J672" s="39"/>
      <c r="K672" s="39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" customHeight="1">
      <c r="A673" s="5"/>
      <c r="B673" s="37"/>
      <c r="C673" s="37"/>
      <c r="D673" s="38"/>
      <c r="E673" s="38"/>
      <c r="F673" s="38"/>
      <c r="G673" s="38"/>
      <c r="H673" s="38"/>
      <c r="I673" s="39"/>
      <c r="J673" s="39"/>
      <c r="K673" s="39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" customHeight="1">
      <c r="A674" s="5"/>
      <c r="B674" s="37"/>
      <c r="C674" s="37"/>
      <c r="D674" s="38"/>
      <c r="E674" s="38"/>
      <c r="F674" s="38"/>
      <c r="G674" s="38"/>
      <c r="H674" s="38"/>
      <c r="I674" s="39"/>
      <c r="J674" s="39"/>
      <c r="K674" s="39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" customHeight="1">
      <c r="A675" s="5"/>
      <c r="B675" s="37"/>
      <c r="C675" s="37"/>
      <c r="D675" s="38"/>
      <c r="E675" s="38"/>
      <c r="F675" s="38"/>
      <c r="G675" s="38"/>
      <c r="H675" s="38"/>
      <c r="I675" s="39"/>
      <c r="J675" s="39"/>
      <c r="K675" s="39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" customHeight="1">
      <c r="A676" s="5"/>
      <c r="B676" s="37"/>
      <c r="C676" s="37"/>
      <c r="D676" s="38"/>
      <c r="E676" s="38"/>
      <c r="F676" s="38"/>
      <c r="G676" s="38"/>
      <c r="H676" s="38"/>
      <c r="I676" s="39"/>
      <c r="J676" s="39"/>
      <c r="K676" s="39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" customHeight="1">
      <c r="A677" s="5"/>
      <c r="B677" s="37"/>
      <c r="C677" s="37"/>
      <c r="D677" s="38"/>
      <c r="E677" s="38"/>
      <c r="F677" s="38"/>
      <c r="G677" s="38"/>
      <c r="H677" s="38"/>
      <c r="I677" s="39"/>
      <c r="J677" s="39"/>
      <c r="K677" s="39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" customHeight="1">
      <c r="A678" s="5"/>
      <c r="B678" s="37"/>
      <c r="C678" s="37"/>
      <c r="D678" s="38"/>
      <c r="E678" s="38"/>
      <c r="F678" s="38"/>
      <c r="G678" s="38"/>
      <c r="H678" s="38"/>
      <c r="I678" s="39"/>
      <c r="J678" s="39"/>
      <c r="K678" s="39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" customHeight="1">
      <c r="A679" s="5"/>
      <c r="B679" s="37"/>
      <c r="C679" s="37"/>
      <c r="D679" s="38"/>
      <c r="E679" s="38"/>
      <c r="F679" s="38"/>
      <c r="G679" s="38"/>
      <c r="H679" s="38"/>
      <c r="I679" s="39"/>
      <c r="J679" s="39"/>
      <c r="K679" s="39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" customHeight="1">
      <c r="A680" s="5"/>
      <c r="B680" s="37"/>
      <c r="C680" s="37"/>
      <c r="D680" s="38"/>
      <c r="E680" s="38"/>
      <c r="F680" s="38"/>
      <c r="G680" s="38"/>
      <c r="H680" s="38"/>
      <c r="I680" s="39"/>
      <c r="J680" s="39"/>
      <c r="K680" s="39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" customHeight="1">
      <c r="A681" s="5"/>
      <c r="B681" s="37"/>
      <c r="C681" s="37"/>
      <c r="D681" s="38"/>
      <c r="E681" s="38"/>
      <c r="F681" s="38"/>
      <c r="G681" s="38"/>
      <c r="H681" s="38"/>
      <c r="I681" s="39"/>
      <c r="J681" s="39"/>
      <c r="K681" s="39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" customHeight="1">
      <c r="A682" s="5"/>
      <c r="B682" s="37"/>
      <c r="C682" s="37"/>
      <c r="D682" s="38"/>
      <c r="E682" s="38"/>
      <c r="F682" s="38"/>
      <c r="G682" s="38"/>
      <c r="H682" s="38"/>
      <c r="I682" s="39"/>
      <c r="J682" s="39"/>
      <c r="K682" s="39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" customHeight="1">
      <c r="A683" s="5"/>
      <c r="B683" s="37"/>
      <c r="C683" s="37"/>
      <c r="D683" s="38"/>
      <c r="E683" s="38"/>
      <c r="F683" s="38"/>
      <c r="G683" s="38"/>
      <c r="H683" s="38"/>
      <c r="I683" s="39"/>
      <c r="J683" s="39"/>
      <c r="K683" s="39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" customHeight="1">
      <c r="A684" s="5"/>
      <c r="B684" s="37"/>
      <c r="C684" s="37"/>
      <c r="D684" s="38"/>
      <c r="E684" s="38"/>
      <c r="F684" s="38"/>
      <c r="G684" s="38"/>
      <c r="H684" s="38"/>
      <c r="I684" s="39"/>
      <c r="J684" s="39"/>
      <c r="K684" s="39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" customHeight="1">
      <c r="A685" s="5"/>
      <c r="B685" s="37"/>
      <c r="C685" s="37"/>
      <c r="D685" s="38"/>
      <c r="E685" s="38"/>
      <c r="F685" s="38"/>
      <c r="G685" s="38"/>
      <c r="H685" s="38"/>
      <c r="I685" s="39"/>
      <c r="J685" s="39"/>
      <c r="K685" s="39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" customHeight="1">
      <c r="A686" s="5"/>
      <c r="B686" s="37"/>
      <c r="C686" s="37"/>
      <c r="D686" s="38"/>
      <c r="E686" s="38"/>
      <c r="F686" s="38"/>
      <c r="G686" s="38"/>
      <c r="H686" s="38"/>
      <c r="I686" s="39"/>
      <c r="J686" s="39"/>
      <c r="K686" s="39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" customHeight="1">
      <c r="A687" s="5"/>
      <c r="B687" s="37"/>
      <c r="C687" s="37"/>
      <c r="D687" s="38"/>
      <c r="E687" s="38"/>
      <c r="F687" s="38"/>
      <c r="G687" s="38"/>
      <c r="H687" s="38"/>
      <c r="I687" s="39"/>
      <c r="J687" s="39"/>
      <c r="K687" s="39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" customHeight="1">
      <c r="A688" s="5"/>
      <c r="B688" s="37"/>
      <c r="C688" s="37"/>
      <c r="D688" s="38"/>
      <c r="E688" s="38"/>
      <c r="F688" s="38"/>
      <c r="G688" s="38"/>
      <c r="H688" s="38"/>
      <c r="I688" s="39"/>
      <c r="J688" s="39"/>
      <c r="K688" s="39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" customHeight="1">
      <c r="A689" s="5"/>
      <c r="B689" s="37"/>
      <c r="C689" s="37"/>
      <c r="D689" s="38"/>
      <c r="E689" s="38"/>
      <c r="F689" s="38"/>
      <c r="G689" s="38"/>
      <c r="H689" s="38"/>
      <c r="I689" s="39"/>
      <c r="J689" s="39"/>
      <c r="K689" s="39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" customHeight="1">
      <c r="A690" s="5"/>
      <c r="B690" s="37"/>
      <c r="C690" s="37"/>
      <c r="D690" s="38"/>
      <c r="E690" s="38"/>
      <c r="F690" s="38"/>
      <c r="G690" s="38"/>
      <c r="H690" s="38"/>
      <c r="I690" s="39"/>
      <c r="J690" s="39"/>
      <c r="K690" s="39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" customHeight="1">
      <c r="A691" s="5"/>
      <c r="B691" s="37"/>
      <c r="C691" s="37"/>
      <c r="D691" s="38"/>
      <c r="E691" s="38"/>
      <c r="F691" s="38"/>
      <c r="G691" s="38"/>
      <c r="H691" s="38"/>
      <c r="I691" s="39"/>
      <c r="J691" s="39"/>
      <c r="K691" s="39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" customHeight="1">
      <c r="A692" s="5"/>
      <c r="B692" s="37"/>
      <c r="C692" s="37"/>
      <c r="D692" s="38"/>
      <c r="E692" s="38"/>
      <c r="F692" s="38"/>
      <c r="G692" s="38"/>
      <c r="H692" s="38"/>
      <c r="I692" s="39"/>
      <c r="J692" s="39"/>
      <c r="K692" s="39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" customHeight="1">
      <c r="A693" s="5"/>
      <c r="B693" s="37"/>
      <c r="C693" s="37"/>
      <c r="D693" s="38"/>
      <c r="E693" s="38"/>
      <c r="F693" s="38"/>
      <c r="G693" s="38"/>
      <c r="H693" s="38"/>
      <c r="I693" s="39"/>
      <c r="J693" s="39"/>
      <c r="K693" s="39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" customHeight="1">
      <c r="A694" s="5"/>
      <c r="B694" s="37"/>
      <c r="C694" s="37"/>
      <c r="D694" s="38"/>
      <c r="E694" s="38"/>
      <c r="F694" s="38"/>
      <c r="G694" s="38"/>
      <c r="H694" s="38"/>
      <c r="I694" s="39"/>
      <c r="J694" s="39"/>
      <c r="K694" s="39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" customHeight="1">
      <c r="A695" s="5"/>
      <c r="B695" s="37"/>
      <c r="C695" s="37"/>
      <c r="D695" s="38"/>
      <c r="E695" s="38"/>
      <c r="F695" s="38"/>
      <c r="G695" s="38"/>
      <c r="H695" s="38"/>
      <c r="I695" s="39"/>
      <c r="J695" s="39"/>
      <c r="K695" s="39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" customHeight="1">
      <c r="A696" s="5"/>
      <c r="B696" s="37"/>
      <c r="C696" s="37"/>
      <c r="D696" s="38"/>
      <c r="E696" s="38"/>
      <c r="F696" s="38"/>
      <c r="G696" s="38"/>
      <c r="H696" s="38"/>
      <c r="I696" s="39"/>
      <c r="J696" s="39"/>
      <c r="K696" s="39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" customHeight="1">
      <c r="A697" s="5"/>
      <c r="B697" s="37"/>
      <c r="C697" s="37"/>
      <c r="D697" s="38"/>
      <c r="E697" s="38"/>
      <c r="F697" s="38"/>
      <c r="G697" s="38"/>
      <c r="H697" s="38"/>
      <c r="I697" s="39"/>
      <c r="J697" s="39"/>
      <c r="K697" s="39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" customHeight="1">
      <c r="A698" s="5"/>
      <c r="B698" s="37"/>
      <c r="C698" s="37"/>
      <c r="D698" s="38"/>
      <c r="E698" s="38"/>
      <c r="F698" s="38"/>
      <c r="G698" s="38"/>
      <c r="H698" s="38"/>
      <c r="I698" s="39"/>
      <c r="J698" s="39"/>
      <c r="K698" s="39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" customHeight="1">
      <c r="A699" s="5"/>
      <c r="B699" s="37"/>
      <c r="C699" s="37"/>
      <c r="D699" s="38"/>
      <c r="E699" s="38"/>
      <c r="F699" s="38"/>
      <c r="G699" s="38"/>
      <c r="H699" s="38"/>
      <c r="I699" s="39"/>
      <c r="J699" s="39"/>
      <c r="K699" s="39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" customHeight="1">
      <c r="A700" s="5"/>
      <c r="B700" s="37"/>
      <c r="C700" s="37"/>
      <c r="D700" s="38"/>
      <c r="E700" s="38"/>
      <c r="F700" s="38"/>
      <c r="G700" s="38"/>
      <c r="H700" s="38"/>
      <c r="I700" s="39"/>
      <c r="J700" s="39"/>
      <c r="K700" s="39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" customHeight="1">
      <c r="A701" s="5"/>
      <c r="B701" s="37"/>
      <c r="C701" s="37"/>
      <c r="D701" s="38"/>
      <c r="E701" s="38"/>
      <c r="F701" s="38"/>
      <c r="G701" s="38"/>
      <c r="H701" s="38"/>
      <c r="I701" s="39"/>
      <c r="J701" s="39"/>
      <c r="K701" s="39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" customHeight="1">
      <c r="A702" s="5"/>
      <c r="B702" s="37"/>
      <c r="C702" s="37"/>
      <c r="D702" s="38"/>
      <c r="E702" s="38"/>
      <c r="F702" s="38"/>
      <c r="G702" s="38"/>
      <c r="H702" s="38"/>
      <c r="I702" s="39"/>
      <c r="J702" s="39"/>
      <c r="K702" s="39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" customHeight="1">
      <c r="A703" s="5"/>
      <c r="B703" s="37"/>
      <c r="C703" s="37"/>
      <c r="D703" s="38"/>
      <c r="E703" s="38"/>
      <c r="F703" s="38"/>
      <c r="G703" s="38"/>
      <c r="H703" s="38"/>
      <c r="I703" s="39"/>
      <c r="J703" s="39"/>
      <c r="K703" s="39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" customHeight="1">
      <c r="A704" s="5"/>
      <c r="B704" s="37"/>
      <c r="C704" s="37"/>
      <c r="D704" s="38"/>
      <c r="E704" s="38"/>
      <c r="F704" s="38"/>
      <c r="G704" s="38"/>
      <c r="H704" s="38"/>
      <c r="I704" s="39"/>
      <c r="J704" s="39"/>
      <c r="K704" s="39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" customHeight="1">
      <c r="A705" s="5"/>
      <c r="B705" s="37"/>
      <c r="C705" s="37"/>
      <c r="D705" s="38"/>
      <c r="E705" s="38"/>
      <c r="F705" s="38"/>
      <c r="G705" s="38"/>
      <c r="H705" s="38"/>
      <c r="I705" s="39"/>
      <c r="J705" s="39"/>
      <c r="K705" s="39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" customHeight="1">
      <c r="A706" s="5"/>
      <c r="B706" s="37"/>
      <c r="C706" s="37"/>
      <c r="D706" s="38"/>
      <c r="E706" s="38"/>
      <c r="F706" s="38"/>
      <c r="G706" s="38"/>
      <c r="H706" s="38"/>
      <c r="I706" s="39"/>
      <c r="J706" s="39"/>
      <c r="K706" s="39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" customHeight="1">
      <c r="A707" s="5"/>
      <c r="B707" s="37"/>
      <c r="C707" s="37"/>
      <c r="D707" s="38"/>
      <c r="E707" s="38"/>
      <c r="F707" s="38"/>
      <c r="G707" s="38"/>
      <c r="H707" s="38"/>
      <c r="I707" s="39"/>
      <c r="J707" s="39"/>
      <c r="K707" s="39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" customHeight="1">
      <c r="A708" s="5"/>
      <c r="B708" s="37"/>
      <c r="C708" s="37"/>
      <c r="D708" s="38"/>
      <c r="E708" s="38"/>
      <c r="F708" s="38"/>
      <c r="G708" s="38"/>
      <c r="H708" s="38"/>
      <c r="I708" s="39"/>
      <c r="J708" s="39"/>
      <c r="K708" s="39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" customHeight="1">
      <c r="A709" s="5"/>
      <c r="B709" s="37"/>
      <c r="C709" s="37"/>
      <c r="D709" s="38"/>
      <c r="E709" s="38"/>
      <c r="F709" s="38"/>
      <c r="G709" s="38"/>
      <c r="H709" s="38"/>
      <c r="I709" s="39"/>
      <c r="J709" s="39"/>
      <c r="K709" s="39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" customHeight="1">
      <c r="A710" s="5"/>
      <c r="B710" s="37"/>
      <c r="C710" s="37"/>
      <c r="D710" s="38"/>
      <c r="E710" s="38"/>
      <c r="F710" s="38"/>
      <c r="G710" s="38"/>
      <c r="H710" s="38"/>
      <c r="I710" s="39"/>
      <c r="J710" s="39"/>
      <c r="K710" s="39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" customHeight="1">
      <c r="A711" s="5"/>
      <c r="B711" s="37"/>
      <c r="C711" s="37"/>
      <c r="D711" s="38"/>
      <c r="E711" s="38"/>
      <c r="F711" s="38"/>
      <c r="G711" s="38"/>
      <c r="H711" s="38"/>
      <c r="I711" s="39"/>
      <c r="J711" s="39"/>
      <c r="K711" s="39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" customHeight="1">
      <c r="A712" s="5"/>
      <c r="B712" s="37"/>
      <c r="C712" s="37"/>
      <c r="D712" s="38"/>
      <c r="E712" s="38"/>
      <c r="F712" s="38"/>
      <c r="G712" s="38"/>
      <c r="H712" s="38"/>
      <c r="I712" s="39"/>
      <c r="J712" s="39"/>
      <c r="K712" s="39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" customHeight="1">
      <c r="A713" s="5"/>
      <c r="B713" s="37"/>
      <c r="C713" s="37"/>
      <c r="D713" s="38"/>
      <c r="E713" s="38"/>
      <c r="F713" s="38"/>
      <c r="G713" s="38"/>
      <c r="H713" s="38"/>
      <c r="I713" s="39"/>
      <c r="J713" s="39"/>
      <c r="K713" s="39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" customHeight="1">
      <c r="A714" s="5"/>
      <c r="B714" s="37"/>
      <c r="C714" s="37"/>
      <c r="D714" s="38"/>
      <c r="E714" s="38"/>
      <c r="F714" s="38"/>
      <c r="G714" s="38"/>
      <c r="H714" s="38"/>
      <c r="I714" s="39"/>
      <c r="J714" s="39"/>
      <c r="K714" s="39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" customHeight="1">
      <c r="A715" s="5"/>
      <c r="B715" s="37"/>
      <c r="C715" s="37"/>
      <c r="D715" s="38"/>
      <c r="E715" s="38"/>
      <c r="F715" s="38"/>
      <c r="G715" s="38"/>
      <c r="H715" s="38"/>
      <c r="I715" s="39"/>
      <c r="J715" s="39"/>
      <c r="K715" s="39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" customHeight="1">
      <c r="A716" s="5"/>
      <c r="B716" s="37"/>
      <c r="C716" s="37"/>
      <c r="D716" s="38"/>
      <c r="E716" s="38"/>
      <c r="F716" s="38"/>
      <c r="G716" s="38"/>
      <c r="H716" s="38"/>
      <c r="I716" s="39"/>
      <c r="J716" s="39"/>
      <c r="K716" s="39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" customHeight="1">
      <c r="A717" s="5"/>
      <c r="B717" s="37"/>
      <c r="C717" s="37"/>
      <c r="D717" s="38"/>
      <c r="E717" s="38"/>
      <c r="F717" s="38"/>
      <c r="G717" s="38"/>
      <c r="H717" s="38"/>
      <c r="I717" s="39"/>
      <c r="J717" s="39"/>
      <c r="K717" s="39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" customHeight="1">
      <c r="A718" s="5"/>
      <c r="B718" s="37"/>
      <c r="C718" s="37"/>
      <c r="D718" s="38"/>
      <c r="E718" s="38"/>
      <c r="F718" s="38"/>
      <c r="G718" s="38"/>
      <c r="H718" s="38"/>
      <c r="I718" s="39"/>
      <c r="J718" s="39"/>
      <c r="K718" s="39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" customHeight="1">
      <c r="A719" s="5"/>
      <c r="B719" s="37"/>
      <c r="C719" s="37"/>
      <c r="D719" s="38"/>
      <c r="E719" s="38"/>
      <c r="F719" s="38"/>
      <c r="G719" s="38"/>
      <c r="H719" s="38"/>
      <c r="I719" s="39"/>
      <c r="J719" s="39"/>
      <c r="K719" s="39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" customHeight="1">
      <c r="A720" s="5"/>
      <c r="B720" s="37"/>
      <c r="C720" s="37"/>
      <c r="D720" s="38"/>
      <c r="E720" s="38"/>
      <c r="F720" s="38"/>
      <c r="G720" s="38"/>
      <c r="H720" s="38"/>
      <c r="I720" s="39"/>
      <c r="J720" s="39"/>
      <c r="K720" s="39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" customHeight="1">
      <c r="A721" s="5"/>
      <c r="B721" s="37"/>
      <c r="C721" s="37"/>
      <c r="D721" s="38"/>
      <c r="E721" s="38"/>
      <c r="F721" s="38"/>
      <c r="G721" s="38"/>
      <c r="H721" s="38"/>
      <c r="I721" s="39"/>
      <c r="J721" s="39"/>
      <c r="K721" s="39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" customHeight="1">
      <c r="A722" s="5"/>
      <c r="B722" s="37"/>
      <c r="C722" s="37"/>
      <c r="D722" s="38"/>
      <c r="E722" s="38"/>
      <c r="F722" s="38"/>
      <c r="G722" s="38"/>
      <c r="H722" s="38"/>
      <c r="I722" s="39"/>
      <c r="J722" s="39"/>
      <c r="K722" s="39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" customHeight="1">
      <c r="A723" s="5"/>
      <c r="B723" s="37"/>
      <c r="C723" s="37"/>
      <c r="D723" s="38"/>
      <c r="E723" s="38"/>
      <c r="F723" s="38"/>
      <c r="G723" s="38"/>
      <c r="H723" s="38"/>
      <c r="I723" s="39"/>
      <c r="J723" s="39"/>
      <c r="K723" s="39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" customHeight="1">
      <c r="A724" s="5"/>
      <c r="B724" s="37"/>
      <c r="C724" s="37"/>
      <c r="D724" s="38"/>
      <c r="E724" s="38"/>
      <c r="F724" s="38"/>
      <c r="G724" s="38"/>
      <c r="H724" s="38"/>
      <c r="I724" s="39"/>
      <c r="J724" s="39"/>
      <c r="K724" s="39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" customHeight="1">
      <c r="A725" s="5"/>
      <c r="B725" s="37"/>
      <c r="C725" s="37"/>
      <c r="D725" s="38"/>
      <c r="E725" s="38"/>
      <c r="F725" s="38"/>
      <c r="G725" s="38"/>
      <c r="H725" s="38"/>
      <c r="I725" s="39"/>
      <c r="J725" s="39"/>
      <c r="K725" s="39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" customHeight="1">
      <c r="A726" s="5"/>
      <c r="B726" s="37"/>
      <c r="C726" s="37"/>
      <c r="D726" s="38"/>
      <c r="E726" s="38"/>
      <c r="F726" s="38"/>
      <c r="G726" s="38"/>
      <c r="H726" s="38"/>
      <c r="I726" s="39"/>
      <c r="J726" s="39"/>
      <c r="K726" s="39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" customHeight="1">
      <c r="A727" s="5"/>
      <c r="B727" s="37"/>
      <c r="C727" s="37"/>
      <c r="D727" s="38"/>
      <c r="E727" s="38"/>
      <c r="F727" s="38"/>
      <c r="G727" s="38"/>
      <c r="H727" s="38"/>
      <c r="I727" s="39"/>
      <c r="J727" s="39"/>
      <c r="K727" s="39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" customHeight="1">
      <c r="A728" s="5"/>
      <c r="B728" s="37"/>
      <c r="C728" s="37"/>
      <c r="D728" s="38"/>
      <c r="E728" s="38"/>
      <c r="F728" s="38"/>
      <c r="G728" s="38"/>
      <c r="H728" s="38"/>
      <c r="I728" s="39"/>
      <c r="J728" s="39"/>
      <c r="K728" s="39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" customHeight="1">
      <c r="A729" s="5"/>
      <c r="B729" s="37"/>
      <c r="C729" s="37"/>
      <c r="D729" s="38"/>
      <c r="E729" s="38"/>
      <c r="F729" s="38"/>
      <c r="G729" s="38"/>
      <c r="H729" s="38"/>
      <c r="I729" s="39"/>
      <c r="J729" s="39"/>
      <c r="K729" s="39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" customHeight="1">
      <c r="A730" s="5"/>
      <c r="B730" s="37"/>
      <c r="C730" s="37"/>
      <c r="D730" s="38"/>
      <c r="E730" s="38"/>
      <c r="F730" s="38"/>
      <c r="G730" s="38"/>
      <c r="H730" s="38"/>
      <c r="I730" s="39"/>
      <c r="J730" s="39"/>
      <c r="K730" s="39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" customHeight="1">
      <c r="A731" s="5"/>
      <c r="B731" s="37"/>
      <c r="C731" s="37"/>
      <c r="D731" s="38"/>
      <c r="E731" s="38"/>
      <c r="F731" s="38"/>
      <c r="G731" s="38"/>
      <c r="H731" s="38"/>
      <c r="I731" s="39"/>
      <c r="J731" s="39"/>
      <c r="K731" s="39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" customHeight="1">
      <c r="A732" s="5"/>
      <c r="B732" s="37"/>
      <c r="C732" s="37"/>
      <c r="D732" s="38"/>
      <c r="E732" s="38"/>
      <c r="F732" s="38"/>
      <c r="G732" s="38"/>
      <c r="H732" s="38"/>
      <c r="I732" s="39"/>
      <c r="J732" s="39"/>
      <c r="K732" s="39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" customHeight="1">
      <c r="A733" s="5"/>
      <c r="B733" s="37"/>
      <c r="C733" s="37"/>
      <c r="D733" s="38"/>
      <c r="E733" s="38"/>
      <c r="F733" s="38"/>
      <c r="G733" s="38"/>
      <c r="H733" s="38"/>
      <c r="I733" s="39"/>
      <c r="J733" s="39"/>
      <c r="K733" s="39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" customHeight="1">
      <c r="A734" s="5"/>
      <c r="B734" s="37"/>
      <c r="C734" s="37"/>
      <c r="D734" s="38"/>
      <c r="E734" s="38"/>
      <c r="F734" s="38"/>
      <c r="G734" s="38"/>
      <c r="H734" s="38"/>
      <c r="I734" s="39"/>
      <c r="J734" s="39"/>
      <c r="K734" s="39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" customHeight="1">
      <c r="A735" s="5"/>
      <c r="B735" s="37"/>
      <c r="C735" s="37"/>
      <c r="D735" s="38"/>
      <c r="E735" s="38"/>
      <c r="F735" s="38"/>
      <c r="G735" s="38"/>
      <c r="H735" s="38"/>
      <c r="I735" s="39"/>
      <c r="J735" s="39"/>
      <c r="K735" s="39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" customHeight="1">
      <c r="A736" s="5"/>
      <c r="B736" s="37"/>
      <c r="C736" s="37"/>
      <c r="D736" s="38"/>
      <c r="E736" s="38"/>
      <c r="F736" s="38"/>
      <c r="G736" s="38"/>
      <c r="H736" s="38"/>
      <c r="I736" s="39"/>
      <c r="J736" s="39"/>
      <c r="K736" s="39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" customHeight="1">
      <c r="A737" s="5"/>
      <c r="B737" s="37"/>
      <c r="C737" s="37"/>
      <c r="D737" s="38"/>
      <c r="E737" s="38"/>
      <c r="F737" s="38"/>
      <c r="G737" s="38"/>
      <c r="H737" s="38"/>
      <c r="I737" s="39"/>
      <c r="J737" s="39"/>
      <c r="K737" s="39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" customHeight="1">
      <c r="A738" s="5"/>
      <c r="B738" s="37"/>
      <c r="C738" s="37"/>
      <c r="D738" s="38"/>
      <c r="E738" s="38"/>
      <c r="F738" s="38"/>
      <c r="G738" s="38"/>
      <c r="H738" s="38"/>
      <c r="I738" s="39"/>
      <c r="J738" s="39"/>
      <c r="K738" s="39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" customHeight="1">
      <c r="A739" s="5"/>
      <c r="B739" s="37"/>
      <c r="C739" s="37"/>
      <c r="D739" s="38"/>
      <c r="E739" s="38"/>
      <c r="F739" s="38"/>
      <c r="G739" s="38"/>
      <c r="H739" s="38"/>
      <c r="I739" s="39"/>
      <c r="J739" s="39"/>
      <c r="K739" s="39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" customHeight="1">
      <c r="A740" s="5"/>
      <c r="B740" s="37"/>
      <c r="C740" s="37"/>
      <c r="D740" s="38"/>
      <c r="E740" s="38"/>
      <c r="F740" s="38"/>
      <c r="G740" s="38"/>
      <c r="H740" s="38"/>
      <c r="I740" s="39"/>
      <c r="J740" s="39"/>
      <c r="K740" s="39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" customHeight="1">
      <c r="A741" s="5"/>
      <c r="B741" s="37"/>
      <c r="C741" s="37"/>
      <c r="D741" s="38"/>
      <c r="E741" s="38"/>
      <c r="F741" s="38"/>
      <c r="G741" s="38"/>
      <c r="H741" s="38"/>
      <c r="I741" s="39"/>
      <c r="J741" s="39"/>
      <c r="K741" s="39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" customHeight="1">
      <c r="A742" s="5"/>
      <c r="B742" s="37"/>
      <c r="C742" s="37"/>
      <c r="D742" s="38"/>
      <c r="E742" s="38"/>
      <c r="F742" s="38"/>
      <c r="G742" s="38"/>
      <c r="H742" s="38"/>
      <c r="I742" s="39"/>
      <c r="J742" s="39"/>
      <c r="K742" s="39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" customHeight="1">
      <c r="A743" s="5"/>
      <c r="B743" s="37"/>
      <c r="C743" s="37"/>
      <c r="D743" s="38"/>
      <c r="E743" s="38"/>
      <c r="F743" s="38"/>
      <c r="G743" s="38"/>
      <c r="H743" s="38"/>
      <c r="I743" s="39"/>
      <c r="J743" s="39"/>
      <c r="K743" s="39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" customHeight="1">
      <c r="A744" s="5"/>
      <c r="B744" s="37"/>
      <c r="C744" s="37"/>
      <c r="D744" s="38"/>
      <c r="E744" s="38"/>
      <c r="F744" s="38"/>
      <c r="G744" s="38"/>
      <c r="H744" s="38"/>
      <c r="I744" s="39"/>
      <c r="J744" s="39"/>
      <c r="K744" s="39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" customHeight="1">
      <c r="A745" s="5"/>
      <c r="B745" s="37"/>
      <c r="C745" s="37"/>
      <c r="D745" s="38"/>
      <c r="E745" s="38"/>
      <c r="F745" s="38"/>
      <c r="G745" s="38"/>
      <c r="H745" s="38"/>
      <c r="I745" s="39"/>
      <c r="J745" s="39"/>
      <c r="K745" s="39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" customHeight="1">
      <c r="A746" s="5"/>
      <c r="B746" s="37"/>
      <c r="C746" s="37"/>
      <c r="D746" s="38"/>
      <c r="E746" s="38"/>
      <c r="F746" s="38"/>
      <c r="G746" s="38"/>
      <c r="H746" s="38"/>
      <c r="I746" s="39"/>
      <c r="J746" s="39"/>
      <c r="K746" s="39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" customHeight="1">
      <c r="A747" s="5"/>
      <c r="B747" s="37"/>
      <c r="C747" s="37"/>
      <c r="D747" s="38"/>
      <c r="E747" s="38"/>
      <c r="F747" s="38"/>
      <c r="G747" s="38"/>
      <c r="H747" s="38"/>
      <c r="I747" s="39"/>
      <c r="J747" s="39"/>
      <c r="K747" s="39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" customHeight="1">
      <c r="A748" s="5"/>
      <c r="B748" s="37"/>
      <c r="C748" s="37"/>
      <c r="D748" s="38"/>
      <c r="E748" s="38"/>
      <c r="F748" s="38"/>
      <c r="G748" s="38"/>
      <c r="H748" s="38"/>
      <c r="I748" s="39"/>
      <c r="J748" s="39"/>
      <c r="K748" s="39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" customHeight="1">
      <c r="A749" s="5"/>
      <c r="B749" s="37"/>
      <c r="C749" s="37"/>
      <c r="D749" s="38"/>
      <c r="E749" s="38"/>
      <c r="F749" s="38"/>
      <c r="G749" s="38"/>
      <c r="H749" s="38"/>
      <c r="I749" s="39"/>
      <c r="J749" s="39"/>
      <c r="K749" s="39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" customHeight="1">
      <c r="A750" s="5"/>
      <c r="B750" s="37"/>
      <c r="C750" s="37"/>
      <c r="D750" s="38"/>
      <c r="E750" s="38"/>
      <c r="F750" s="38"/>
      <c r="G750" s="38"/>
      <c r="H750" s="38"/>
      <c r="I750" s="39"/>
      <c r="J750" s="39"/>
      <c r="K750" s="39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" customHeight="1">
      <c r="A751" s="5"/>
      <c r="B751" s="37"/>
      <c r="C751" s="37"/>
      <c r="D751" s="38"/>
      <c r="E751" s="38"/>
      <c r="F751" s="38"/>
      <c r="G751" s="38"/>
      <c r="H751" s="38"/>
      <c r="I751" s="39"/>
      <c r="J751" s="39"/>
      <c r="K751" s="39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" customHeight="1">
      <c r="A752" s="5"/>
      <c r="B752" s="37"/>
      <c r="C752" s="37"/>
      <c r="D752" s="38"/>
      <c r="E752" s="38"/>
      <c r="F752" s="38"/>
      <c r="G752" s="38"/>
      <c r="H752" s="38"/>
      <c r="I752" s="39"/>
      <c r="J752" s="39"/>
      <c r="K752" s="39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" customHeight="1">
      <c r="A753" s="5"/>
      <c r="B753" s="37"/>
      <c r="C753" s="37"/>
      <c r="D753" s="38"/>
      <c r="E753" s="38"/>
      <c r="F753" s="38"/>
      <c r="G753" s="38"/>
      <c r="H753" s="38"/>
      <c r="I753" s="39"/>
      <c r="J753" s="39"/>
      <c r="K753" s="39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" customHeight="1">
      <c r="A754" s="5"/>
      <c r="B754" s="37"/>
      <c r="C754" s="37"/>
      <c r="D754" s="38"/>
      <c r="E754" s="38"/>
      <c r="F754" s="38"/>
      <c r="G754" s="38"/>
      <c r="H754" s="38"/>
      <c r="I754" s="39"/>
      <c r="J754" s="39"/>
      <c r="K754" s="39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" customHeight="1">
      <c r="A755" s="5"/>
      <c r="B755" s="37"/>
      <c r="C755" s="37"/>
      <c r="D755" s="38"/>
      <c r="E755" s="38"/>
      <c r="F755" s="38"/>
      <c r="G755" s="38"/>
      <c r="H755" s="38"/>
      <c r="I755" s="39"/>
      <c r="J755" s="39"/>
      <c r="K755" s="39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" customHeight="1">
      <c r="A756" s="5"/>
      <c r="B756" s="37"/>
      <c r="C756" s="37"/>
      <c r="D756" s="38"/>
      <c r="E756" s="38"/>
      <c r="F756" s="38"/>
      <c r="G756" s="38"/>
      <c r="H756" s="38"/>
      <c r="I756" s="39"/>
      <c r="J756" s="39"/>
      <c r="K756" s="39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" customHeight="1">
      <c r="A757" s="5"/>
      <c r="B757" s="37"/>
      <c r="C757" s="37"/>
      <c r="D757" s="38"/>
      <c r="E757" s="38"/>
      <c r="F757" s="38"/>
      <c r="G757" s="38"/>
      <c r="H757" s="38"/>
      <c r="I757" s="39"/>
      <c r="J757" s="39"/>
      <c r="K757" s="39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" customHeight="1">
      <c r="A758" s="5"/>
      <c r="B758" s="37"/>
      <c r="C758" s="37"/>
      <c r="D758" s="38"/>
      <c r="E758" s="38"/>
      <c r="F758" s="38"/>
      <c r="G758" s="38"/>
      <c r="H758" s="38"/>
      <c r="I758" s="39"/>
      <c r="J758" s="39"/>
      <c r="K758" s="39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" customHeight="1">
      <c r="A759" s="5"/>
      <c r="B759" s="37"/>
      <c r="C759" s="37"/>
      <c r="D759" s="38"/>
      <c r="E759" s="38"/>
      <c r="F759" s="38"/>
      <c r="G759" s="38"/>
      <c r="H759" s="38"/>
      <c r="I759" s="39"/>
      <c r="J759" s="39"/>
      <c r="K759" s="39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" customHeight="1">
      <c r="A760" s="5"/>
      <c r="B760" s="37"/>
      <c r="C760" s="37"/>
      <c r="D760" s="38"/>
      <c r="E760" s="38"/>
      <c r="F760" s="38"/>
      <c r="G760" s="38"/>
      <c r="H760" s="38"/>
      <c r="I760" s="39"/>
      <c r="J760" s="39"/>
      <c r="K760" s="39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" customHeight="1">
      <c r="A761" s="5"/>
      <c r="B761" s="37"/>
      <c r="C761" s="37"/>
      <c r="D761" s="38"/>
      <c r="E761" s="38"/>
      <c r="F761" s="38"/>
      <c r="G761" s="38"/>
      <c r="H761" s="38"/>
      <c r="I761" s="39"/>
      <c r="J761" s="39"/>
      <c r="K761" s="39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" customHeight="1">
      <c r="A762" s="5"/>
      <c r="B762" s="37"/>
      <c r="C762" s="37"/>
      <c r="D762" s="38"/>
      <c r="E762" s="38"/>
      <c r="F762" s="38"/>
      <c r="G762" s="38"/>
      <c r="H762" s="38"/>
      <c r="I762" s="39"/>
      <c r="J762" s="39"/>
      <c r="K762" s="39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" customHeight="1">
      <c r="A763" s="5"/>
      <c r="B763" s="37"/>
      <c r="C763" s="37"/>
      <c r="D763" s="38"/>
      <c r="E763" s="38"/>
      <c r="F763" s="38"/>
      <c r="G763" s="38"/>
      <c r="H763" s="38"/>
      <c r="I763" s="39"/>
      <c r="J763" s="39"/>
      <c r="K763" s="39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" customHeight="1">
      <c r="A764" s="5"/>
      <c r="B764" s="37"/>
      <c r="C764" s="37"/>
      <c r="D764" s="38"/>
      <c r="E764" s="38"/>
      <c r="F764" s="38"/>
      <c r="G764" s="38"/>
      <c r="H764" s="38"/>
      <c r="I764" s="39"/>
      <c r="J764" s="39"/>
      <c r="K764" s="39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" customHeight="1">
      <c r="A765" s="5"/>
      <c r="B765" s="37"/>
      <c r="C765" s="37"/>
      <c r="D765" s="38"/>
      <c r="E765" s="38"/>
      <c r="F765" s="38"/>
      <c r="G765" s="38"/>
      <c r="H765" s="38"/>
      <c r="I765" s="39"/>
      <c r="J765" s="39"/>
      <c r="K765" s="39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" customHeight="1">
      <c r="A766" s="5"/>
      <c r="B766" s="37"/>
      <c r="C766" s="37"/>
      <c r="D766" s="38"/>
      <c r="E766" s="38"/>
      <c r="F766" s="38"/>
      <c r="G766" s="38"/>
      <c r="H766" s="38"/>
      <c r="I766" s="39"/>
      <c r="J766" s="39"/>
      <c r="K766" s="39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" customHeight="1">
      <c r="A767" s="5"/>
      <c r="B767" s="37"/>
      <c r="C767" s="37"/>
      <c r="D767" s="38"/>
      <c r="E767" s="38"/>
      <c r="F767" s="38"/>
      <c r="G767" s="38"/>
      <c r="H767" s="38"/>
      <c r="I767" s="39"/>
      <c r="J767" s="39"/>
      <c r="K767" s="39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" customHeight="1">
      <c r="A768" s="5"/>
      <c r="B768" s="37"/>
      <c r="C768" s="37"/>
      <c r="D768" s="38"/>
      <c r="E768" s="38"/>
      <c r="F768" s="38"/>
      <c r="G768" s="38"/>
      <c r="H768" s="38"/>
      <c r="I768" s="39"/>
      <c r="J768" s="39"/>
      <c r="K768" s="39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" customHeight="1">
      <c r="A769" s="5"/>
      <c r="B769" s="37"/>
      <c r="C769" s="37"/>
      <c r="D769" s="38"/>
      <c r="E769" s="38"/>
      <c r="F769" s="38"/>
      <c r="G769" s="38"/>
      <c r="H769" s="38"/>
      <c r="I769" s="39"/>
      <c r="J769" s="39"/>
      <c r="K769" s="39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" customHeight="1">
      <c r="A770" s="5"/>
      <c r="B770" s="37"/>
      <c r="C770" s="37"/>
      <c r="D770" s="38"/>
      <c r="E770" s="38"/>
      <c r="F770" s="38"/>
      <c r="G770" s="38"/>
      <c r="H770" s="38"/>
      <c r="I770" s="39"/>
      <c r="J770" s="39"/>
      <c r="K770" s="39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" customHeight="1">
      <c r="A771" s="5"/>
      <c r="B771" s="37"/>
      <c r="C771" s="37"/>
      <c r="D771" s="38"/>
      <c r="E771" s="38"/>
      <c r="F771" s="38"/>
      <c r="G771" s="38"/>
      <c r="H771" s="38"/>
      <c r="I771" s="39"/>
      <c r="J771" s="39"/>
      <c r="K771" s="39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" customHeight="1">
      <c r="A772" s="5"/>
      <c r="B772" s="37"/>
      <c r="C772" s="37"/>
      <c r="D772" s="38"/>
      <c r="E772" s="38"/>
      <c r="F772" s="38"/>
      <c r="G772" s="38"/>
      <c r="H772" s="38"/>
      <c r="I772" s="39"/>
      <c r="J772" s="39"/>
      <c r="K772" s="39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" customHeight="1">
      <c r="A773" s="5"/>
      <c r="B773" s="37"/>
      <c r="C773" s="37"/>
      <c r="D773" s="38"/>
      <c r="E773" s="38"/>
      <c r="F773" s="38"/>
      <c r="G773" s="38"/>
      <c r="H773" s="38"/>
      <c r="I773" s="39"/>
      <c r="J773" s="39"/>
      <c r="K773" s="39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" customHeight="1">
      <c r="A774" s="5"/>
      <c r="B774" s="37"/>
      <c r="C774" s="37"/>
      <c r="D774" s="38"/>
      <c r="E774" s="38"/>
      <c r="F774" s="38"/>
      <c r="G774" s="38"/>
      <c r="H774" s="38"/>
      <c r="I774" s="39"/>
      <c r="J774" s="39"/>
      <c r="K774" s="39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" customHeight="1">
      <c r="A775" s="5"/>
      <c r="B775" s="37"/>
      <c r="C775" s="37"/>
      <c r="D775" s="38"/>
      <c r="E775" s="38"/>
      <c r="F775" s="38"/>
      <c r="G775" s="38"/>
      <c r="H775" s="38"/>
      <c r="I775" s="39"/>
      <c r="J775" s="39"/>
      <c r="K775" s="39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" customHeight="1">
      <c r="A776" s="5"/>
      <c r="B776" s="37"/>
      <c r="C776" s="37"/>
      <c r="D776" s="38"/>
      <c r="E776" s="38"/>
      <c r="F776" s="38"/>
      <c r="G776" s="38"/>
      <c r="H776" s="38"/>
      <c r="I776" s="39"/>
      <c r="J776" s="39"/>
      <c r="K776" s="39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" customHeight="1">
      <c r="A777" s="5"/>
      <c r="B777" s="37"/>
      <c r="C777" s="37"/>
      <c r="D777" s="38"/>
      <c r="E777" s="38"/>
      <c r="F777" s="38"/>
      <c r="G777" s="38"/>
      <c r="H777" s="38"/>
      <c r="I777" s="39"/>
      <c r="J777" s="39"/>
      <c r="K777" s="39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" customHeight="1">
      <c r="A778" s="5"/>
      <c r="B778" s="37"/>
      <c r="C778" s="37"/>
      <c r="D778" s="38"/>
      <c r="E778" s="38"/>
      <c r="F778" s="38"/>
      <c r="G778" s="38"/>
      <c r="H778" s="38"/>
      <c r="I778" s="39"/>
      <c r="J778" s="39"/>
      <c r="K778" s="39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" customHeight="1">
      <c r="A779" s="5"/>
      <c r="B779" s="37"/>
      <c r="C779" s="37"/>
      <c r="D779" s="38"/>
      <c r="E779" s="38"/>
      <c r="F779" s="38"/>
      <c r="G779" s="38"/>
      <c r="H779" s="38"/>
      <c r="I779" s="39"/>
      <c r="J779" s="39"/>
      <c r="K779" s="39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" customHeight="1">
      <c r="A780" s="5"/>
      <c r="B780" s="37"/>
      <c r="C780" s="37"/>
      <c r="D780" s="38"/>
      <c r="E780" s="38"/>
      <c r="F780" s="38"/>
      <c r="G780" s="38"/>
      <c r="H780" s="38"/>
      <c r="I780" s="39"/>
      <c r="J780" s="39"/>
      <c r="K780" s="39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" customHeight="1">
      <c r="A781" s="5"/>
      <c r="B781" s="37"/>
      <c r="C781" s="37"/>
      <c r="D781" s="38"/>
      <c r="E781" s="38"/>
      <c r="F781" s="38"/>
      <c r="G781" s="38"/>
      <c r="H781" s="38"/>
      <c r="I781" s="39"/>
      <c r="J781" s="39"/>
      <c r="K781" s="39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" customHeight="1">
      <c r="A782" s="5"/>
      <c r="B782" s="37"/>
      <c r="C782" s="37"/>
      <c r="D782" s="38"/>
      <c r="E782" s="38"/>
      <c r="F782" s="38"/>
      <c r="G782" s="38"/>
      <c r="H782" s="38"/>
      <c r="I782" s="39"/>
      <c r="J782" s="39"/>
      <c r="K782" s="39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" customHeight="1">
      <c r="A783" s="5"/>
      <c r="B783" s="37"/>
      <c r="C783" s="37"/>
      <c r="D783" s="38"/>
      <c r="E783" s="38"/>
      <c r="F783" s="38"/>
      <c r="G783" s="38"/>
      <c r="H783" s="38"/>
      <c r="I783" s="39"/>
      <c r="J783" s="39"/>
      <c r="K783" s="39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" customHeight="1">
      <c r="A784" s="5"/>
      <c r="B784" s="37"/>
      <c r="C784" s="37"/>
      <c r="D784" s="38"/>
      <c r="E784" s="38"/>
      <c r="F784" s="38"/>
      <c r="G784" s="38"/>
      <c r="H784" s="38"/>
      <c r="I784" s="39"/>
      <c r="J784" s="39"/>
      <c r="K784" s="39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" customHeight="1">
      <c r="A785" s="5"/>
      <c r="B785" s="37"/>
      <c r="C785" s="37"/>
      <c r="D785" s="38"/>
      <c r="E785" s="38"/>
      <c r="F785" s="38"/>
      <c r="G785" s="38"/>
      <c r="H785" s="38"/>
      <c r="I785" s="39"/>
      <c r="J785" s="39"/>
      <c r="K785" s="39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" customHeight="1">
      <c r="A786" s="5"/>
      <c r="B786" s="37"/>
      <c r="C786" s="37"/>
      <c r="D786" s="38"/>
      <c r="E786" s="38"/>
      <c r="F786" s="38"/>
      <c r="G786" s="38"/>
      <c r="H786" s="38"/>
      <c r="I786" s="39"/>
      <c r="J786" s="39"/>
      <c r="K786" s="39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" customHeight="1">
      <c r="A787" s="5"/>
      <c r="B787" s="37"/>
      <c r="C787" s="37"/>
      <c r="D787" s="38"/>
      <c r="E787" s="38"/>
      <c r="F787" s="38"/>
      <c r="G787" s="38"/>
      <c r="H787" s="38"/>
      <c r="I787" s="39"/>
      <c r="J787" s="39"/>
      <c r="K787" s="39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" customHeight="1">
      <c r="A788" s="5"/>
      <c r="B788" s="37"/>
      <c r="C788" s="37"/>
      <c r="D788" s="38"/>
      <c r="E788" s="38"/>
      <c r="F788" s="38"/>
      <c r="G788" s="38"/>
      <c r="H788" s="38"/>
      <c r="I788" s="39"/>
      <c r="J788" s="39"/>
      <c r="K788" s="39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" customHeight="1">
      <c r="A789" s="5"/>
      <c r="B789" s="37"/>
      <c r="C789" s="37"/>
      <c r="D789" s="38"/>
      <c r="E789" s="38"/>
      <c r="F789" s="38"/>
      <c r="G789" s="38"/>
      <c r="H789" s="38"/>
      <c r="I789" s="39"/>
      <c r="J789" s="39"/>
      <c r="K789" s="39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" customHeight="1">
      <c r="A790" s="5"/>
      <c r="B790" s="37"/>
      <c r="C790" s="37"/>
      <c r="D790" s="38"/>
      <c r="E790" s="38"/>
      <c r="F790" s="38"/>
      <c r="G790" s="38"/>
      <c r="H790" s="38"/>
      <c r="I790" s="39"/>
      <c r="J790" s="39"/>
      <c r="K790" s="39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" customHeight="1">
      <c r="A791" s="5"/>
      <c r="B791" s="37"/>
      <c r="C791" s="37"/>
      <c r="D791" s="38"/>
      <c r="E791" s="38"/>
      <c r="F791" s="38"/>
      <c r="G791" s="38"/>
      <c r="H791" s="38"/>
      <c r="I791" s="39"/>
      <c r="J791" s="39"/>
      <c r="K791" s="39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" customHeight="1">
      <c r="A792" s="5"/>
      <c r="B792" s="37"/>
      <c r="C792" s="37"/>
      <c r="D792" s="38"/>
      <c r="E792" s="38"/>
      <c r="F792" s="38"/>
      <c r="G792" s="38"/>
      <c r="H792" s="38"/>
      <c r="I792" s="39"/>
      <c r="J792" s="39"/>
      <c r="K792" s="39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" customHeight="1">
      <c r="A793" s="5"/>
      <c r="B793" s="37"/>
      <c r="C793" s="37"/>
      <c r="D793" s="38"/>
      <c r="E793" s="38"/>
      <c r="F793" s="38"/>
      <c r="G793" s="38"/>
      <c r="H793" s="38"/>
      <c r="I793" s="39"/>
      <c r="J793" s="39"/>
      <c r="K793" s="39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" customHeight="1">
      <c r="A794" s="5"/>
      <c r="B794" s="37"/>
      <c r="C794" s="37"/>
      <c r="D794" s="38"/>
      <c r="E794" s="38"/>
      <c r="F794" s="38"/>
      <c r="G794" s="38"/>
      <c r="H794" s="38"/>
      <c r="I794" s="39"/>
      <c r="J794" s="39"/>
      <c r="K794" s="39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" customHeight="1">
      <c r="A795" s="5"/>
      <c r="B795" s="37"/>
      <c r="C795" s="37"/>
      <c r="D795" s="38"/>
      <c r="E795" s="38"/>
      <c r="F795" s="38"/>
      <c r="G795" s="38"/>
      <c r="H795" s="38"/>
      <c r="I795" s="39"/>
      <c r="J795" s="39"/>
      <c r="K795" s="39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" customHeight="1">
      <c r="A796" s="5"/>
      <c r="B796" s="37"/>
      <c r="C796" s="37"/>
      <c r="D796" s="38"/>
      <c r="E796" s="38"/>
      <c r="F796" s="38"/>
      <c r="G796" s="38"/>
      <c r="H796" s="38"/>
      <c r="I796" s="39"/>
      <c r="J796" s="39"/>
      <c r="K796" s="39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" customHeight="1">
      <c r="A797" s="5"/>
      <c r="B797" s="37"/>
      <c r="C797" s="37"/>
      <c r="D797" s="38"/>
      <c r="E797" s="38"/>
      <c r="F797" s="38"/>
      <c r="G797" s="38"/>
      <c r="H797" s="38"/>
      <c r="I797" s="39"/>
      <c r="J797" s="39"/>
      <c r="K797" s="39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" customHeight="1">
      <c r="A798" s="5"/>
      <c r="B798" s="37"/>
      <c r="C798" s="37"/>
      <c r="D798" s="38"/>
      <c r="E798" s="38"/>
      <c r="F798" s="38"/>
      <c r="G798" s="38"/>
      <c r="H798" s="38"/>
      <c r="I798" s="39"/>
      <c r="J798" s="39"/>
      <c r="K798" s="39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" customHeight="1">
      <c r="A799" s="5"/>
      <c r="B799" s="37"/>
      <c r="C799" s="37"/>
      <c r="D799" s="38"/>
      <c r="E799" s="38"/>
      <c r="F799" s="38"/>
      <c r="G799" s="38"/>
      <c r="H799" s="38"/>
      <c r="I799" s="39"/>
      <c r="J799" s="39"/>
      <c r="K799" s="39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" customHeight="1">
      <c r="A800" s="5"/>
      <c r="B800" s="37"/>
      <c r="C800" s="37"/>
      <c r="D800" s="38"/>
      <c r="E800" s="38"/>
      <c r="F800" s="38"/>
      <c r="G800" s="38"/>
      <c r="H800" s="38"/>
      <c r="I800" s="39"/>
      <c r="J800" s="39"/>
      <c r="K800" s="39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" customHeight="1">
      <c r="A801" s="5"/>
      <c r="B801" s="37"/>
      <c r="C801" s="37"/>
      <c r="D801" s="38"/>
      <c r="E801" s="38"/>
      <c r="F801" s="38"/>
      <c r="G801" s="38"/>
      <c r="H801" s="38"/>
      <c r="I801" s="39"/>
      <c r="J801" s="39"/>
      <c r="K801" s="39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" customHeight="1">
      <c r="A802" s="5"/>
      <c r="B802" s="37"/>
      <c r="C802" s="37"/>
      <c r="D802" s="38"/>
      <c r="E802" s="38"/>
      <c r="F802" s="38"/>
      <c r="G802" s="38"/>
      <c r="H802" s="38"/>
      <c r="I802" s="39"/>
      <c r="J802" s="39"/>
      <c r="K802" s="39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" customHeight="1">
      <c r="A803" s="5"/>
      <c r="B803" s="37"/>
      <c r="C803" s="37"/>
      <c r="D803" s="38"/>
      <c r="E803" s="38"/>
      <c r="F803" s="38"/>
      <c r="G803" s="38"/>
      <c r="H803" s="38"/>
      <c r="I803" s="39"/>
      <c r="J803" s="39"/>
      <c r="K803" s="39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" customHeight="1">
      <c r="A804" s="5"/>
      <c r="B804" s="37"/>
      <c r="C804" s="37"/>
      <c r="D804" s="38"/>
      <c r="E804" s="38"/>
      <c r="F804" s="38"/>
      <c r="G804" s="38"/>
      <c r="H804" s="38"/>
      <c r="I804" s="39"/>
      <c r="J804" s="39"/>
      <c r="K804" s="39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" customHeight="1">
      <c r="A805" s="5"/>
      <c r="B805" s="37"/>
      <c r="C805" s="37"/>
      <c r="D805" s="38"/>
      <c r="E805" s="38"/>
      <c r="F805" s="38"/>
      <c r="G805" s="38"/>
      <c r="H805" s="38"/>
      <c r="I805" s="39"/>
      <c r="J805" s="39"/>
      <c r="K805" s="39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" customHeight="1">
      <c r="A806" s="5"/>
      <c r="B806" s="37"/>
      <c r="C806" s="37"/>
      <c r="D806" s="38"/>
      <c r="E806" s="38"/>
      <c r="F806" s="38"/>
      <c r="G806" s="38"/>
      <c r="H806" s="38"/>
      <c r="I806" s="39"/>
      <c r="J806" s="39"/>
      <c r="K806" s="39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" customHeight="1">
      <c r="A807" s="5"/>
      <c r="B807" s="37"/>
      <c r="C807" s="37"/>
      <c r="D807" s="38"/>
      <c r="E807" s="38"/>
      <c r="F807" s="38"/>
      <c r="G807" s="38"/>
      <c r="H807" s="38"/>
      <c r="I807" s="39"/>
      <c r="J807" s="39"/>
      <c r="K807" s="39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" customHeight="1">
      <c r="A808" s="5"/>
      <c r="B808" s="37"/>
      <c r="C808" s="37"/>
      <c r="D808" s="38"/>
      <c r="E808" s="38"/>
      <c r="F808" s="38"/>
      <c r="G808" s="38"/>
      <c r="H808" s="38"/>
      <c r="I808" s="39"/>
      <c r="J808" s="39"/>
      <c r="K808" s="39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" customHeight="1">
      <c r="A809" s="5"/>
      <c r="B809" s="37"/>
      <c r="C809" s="37"/>
      <c r="D809" s="38"/>
      <c r="E809" s="38"/>
      <c r="F809" s="38"/>
      <c r="G809" s="38"/>
      <c r="H809" s="38"/>
      <c r="I809" s="39"/>
      <c r="J809" s="39"/>
      <c r="K809" s="39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" customHeight="1">
      <c r="A810" s="5"/>
      <c r="B810" s="37"/>
      <c r="C810" s="37"/>
      <c r="D810" s="38"/>
      <c r="E810" s="38"/>
      <c r="F810" s="38"/>
      <c r="G810" s="38"/>
      <c r="H810" s="38"/>
      <c r="I810" s="39"/>
      <c r="J810" s="39"/>
      <c r="K810" s="39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" customHeight="1">
      <c r="A811" s="5"/>
      <c r="B811" s="37"/>
      <c r="C811" s="37"/>
      <c r="D811" s="38"/>
      <c r="E811" s="38"/>
      <c r="F811" s="38"/>
      <c r="G811" s="38"/>
      <c r="H811" s="38"/>
      <c r="I811" s="39"/>
      <c r="J811" s="39"/>
      <c r="K811" s="39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" customHeight="1">
      <c r="A812" s="5"/>
      <c r="B812" s="37"/>
      <c r="C812" s="37"/>
      <c r="D812" s="38"/>
      <c r="E812" s="38"/>
      <c r="F812" s="38"/>
      <c r="G812" s="38"/>
      <c r="H812" s="38"/>
      <c r="I812" s="39"/>
      <c r="J812" s="39"/>
      <c r="K812" s="39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" customHeight="1">
      <c r="A813" s="5"/>
      <c r="B813" s="37"/>
      <c r="C813" s="37"/>
      <c r="D813" s="38"/>
      <c r="E813" s="38"/>
      <c r="F813" s="38"/>
      <c r="G813" s="38"/>
      <c r="H813" s="38"/>
      <c r="I813" s="39"/>
      <c r="J813" s="39"/>
      <c r="K813" s="39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" customHeight="1">
      <c r="A814" s="5"/>
      <c r="B814" s="37"/>
      <c r="C814" s="37"/>
      <c r="D814" s="38"/>
      <c r="E814" s="38"/>
      <c r="F814" s="38"/>
      <c r="G814" s="38"/>
      <c r="H814" s="38"/>
      <c r="I814" s="39"/>
      <c r="J814" s="39"/>
      <c r="K814" s="39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" customHeight="1">
      <c r="A815" s="5"/>
      <c r="B815" s="37"/>
      <c r="C815" s="37"/>
      <c r="D815" s="38"/>
      <c r="E815" s="38"/>
      <c r="F815" s="38"/>
      <c r="G815" s="38"/>
      <c r="H815" s="38"/>
      <c r="I815" s="39"/>
      <c r="J815" s="39"/>
      <c r="K815" s="39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" customHeight="1">
      <c r="A816" s="5"/>
      <c r="B816" s="37"/>
      <c r="C816" s="37"/>
      <c r="D816" s="38"/>
      <c r="E816" s="38"/>
      <c r="F816" s="38"/>
      <c r="G816" s="38"/>
      <c r="H816" s="38"/>
      <c r="I816" s="39"/>
      <c r="J816" s="39"/>
      <c r="K816" s="39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" customHeight="1">
      <c r="A817" s="5"/>
      <c r="B817" s="37"/>
      <c r="C817" s="37"/>
      <c r="D817" s="38"/>
      <c r="E817" s="38"/>
      <c r="F817" s="38"/>
      <c r="G817" s="38"/>
      <c r="H817" s="38"/>
      <c r="I817" s="39"/>
      <c r="J817" s="39"/>
      <c r="K817" s="39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" customHeight="1">
      <c r="A818" s="5"/>
      <c r="B818" s="37"/>
      <c r="C818" s="37"/>
      <c r="D818" s="38"/>
      <c r="E818" s="38"/>
      <c r="F818" s="38"/>
      <c r="G818" s="38"/>
      <c r="H818" s="38"/>
      <c r="I818" s="39"/>
      <c r="J818" s="39"/>
      <c r="K818" s="39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" customHeight="1">
      <c r="A819" s="5"/>
      <c r="B819" s="37"/>
      <c r="C819" s="37"/>
      <c r="D819" s="38"/>
      <c r="E819" s="38"/>
      <c r="F819" s="38"/>
      <c r="G819" s="38"/>
      <c r="H819" s="38"/>
      <c r="I819" s="39"/>
      <c r="J819" s="39"/>
      <c r="K819" s="39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" customHeight="1">
      <c r="A820" s="5"/>
      <c r="B820" s="37"/>
      <c r="C820" s="37"/>
      <c r="D820" s="38"/>
      <c r="E820" s="38"/>
      <c r="F820" s="38"/>
      <c r="G820" s="38"/>
      <c r="H820" s="38"/>
      <c r="I820" s="39"/>
      <c r="J820" s="39"/>
      <c r="K820" s="39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" customHeight="1">
      <c r="A821" s="5"/>
      <c r="B821" s="37"/>
      <c r="C821" s="37"/>
      <c r="D821" s="38"/>
      <c r="E821" s="38"/>
      <c r="F821" s="38"/>
      <c r="G821" s="38"/>
      <c r="H821" s="38"/>
      <c r="I821" s="39"/>
      <c r="J821" s="39"/>
      <c r="K821" s="39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" customHeight="1">
      <c r="A822" s="5"/>
      <c r="B822" s="37"/>
      <c r="C822" s="37"/>
      <c r="D822" s="38"/>
      <c r="E822" s="38"/>
      <c r="F822" s="38"/>
      <c r="G822" s="38"/>
      <c r="H822" s="38"/>
      <c r="I822" s="39"/>
      <c r="J822" s="39"/>
      <c r="K822" s="39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" customHeight="1">
      <c r="A823" s="5"/>
      <c r="B823" s="37"/>
      <c r="C823" s="37"/>
      <c r="D823" s="38"/>
      <c r="E823" s="38"/>
      <c r="F823" s="38"/>
      <c r="G823" s="38"/>
      <c r="H823" s="38"/>
      <c r="I823" s="39"/>
      <c r="J823" s="39"/>
      <c r="K823" s="39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" customHeight="1">
      <c r="A824" s="5"/>
      <c r="B824" s="37"/>
      <c r="C824" s="37"/>
      <c r="D824" s="38"/>
      <c r="E824" s="38"/>
      <c r="F824" s="38"/>
      <c r="G824" s="38"/>
      <c r="H824" s="38"/>
      <c r="I824" s="39"/>
      <c r="J824" s="39"/>
      <c r="K824" s="39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" customHeight="1">
      <c r="A825" s="5"/>
      <c r="B825" s="37"/>
      <c r="C825" s="37"/>
      <c r="D825" s="38"/>
      <c r="E825" s="38"/>
      <c r="F825" s="38"/>
      <c r="G825" s="38"/>
      <c r="H825" s="38"/>
      <c r="I825" s="39"/>
      <c r="J825" s="39"/>
      <c r="K825" s="39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" customHeight="1">
      <c r="A826" s="5"/>
      <c r="B826" s="37"/>
      <c r="C826" s="37"/>
      <c r="D826" s="38"/>
      <c r="E826" s="38"/>
      <c r="F826" s="38"/>
      <c r="G826" s="38"/>
      <c r="H826" s="38"/>
      <c r="I826" s="39"/>
      <c r="J826" s="39"/>
      <c r="K826" s="39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" customHeight="1">
      <c r="A827" s="5"/>
      <c r="B827" s="37"/>
      <c r="C827" s="37"/>
      <c r="D827" s="38"/>
      <c r="E827" s="38"/>
      <c r="F827" s="38"/>
      <c r="G827" s="38"/>
      <c r="H827" s="38"/>
      <c r="I827" s="39"/>
      <c r="J827" s="39"/>
      <c r="K827" s="39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" customHeight="1">
      <c r="A828" s="5"/>
      <c r="B828" s="37"/>
      <c r="C828" s="37"/>
      <c r="D828" s="38"/>
      <c r="E828" s="38"/>
      <c r="F828" s="38"/>
      <c r="G828" s="38"/>
      <c r="H828" s="38"/>
      <c r="I828" s="39"/>
      <c r="J828" s="39"/>
      <c r="K828" s="39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" customHeight="1">
      <c r="A829" s="5"/>
      <c r="B829" s="37"/>
      <c r="C829" s="37"/>
      <c r="D829" s="38"/>
      <c r="E829" s="38"/>
      <c r="F829" s="38"/>
      <c r="G829" s="38"/>
      <c r="H829" s="38"/>
      <c r="I829" s="39"/>
      <c r="J829" s="39"/>
      <c r="K829" s="39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" customHeight="1">
      <c r="A830" s="5"/>
      <c r="B830" s="37"/>
      <c r="C830" s="37"/>
      <c r="D830" s="38"/>
      <c r="E830" s="38"/>
      <c r="F830" s="38"/>
      <c r="G830" s="38"/>
      <c r="H830" s="38"/>
      <c r="I830" s="39"/>
      <c r="J830" s="39"/>
      <c r="K830" s="39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" customHeight="1">
      <c r="A831" s="5"/>
      <c r="B831" s="37"/>
      <c r="C831" s="37"/>
      <c r="D831" s="38"/>
      <c r="E831" s="38"/>
      <c r="F831" s="38"/>
      <c r="G831" s="38"/>
      <c r="H831" s="38"/>
      <c r="I831" s="39"/>
      <c r="J831" s="39"/>
      <c r="K831" s="39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" customHeight="1">
      <c r="A832" s="5"/>
      <c r="B832" s="37"/>
      <c r="C832" s="37"/>
      <c r="D832" s="38"/>
      <c r="E832" s="38"/>
      <c r="F832" s="38"/>
      <c r="G832" s="38"/>
      <c r="H832" s="38"/>
      <c r="I832" s="39"/>
      <c r="J832" s="39"/>
      <c r="K832" s="39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" customHeight="1">
      <c r="A833" s="5"/>
      <c r="B833" s="37"/>
      <c r="C833" s="37"/>
      <c r="D833" s="38"/>
      <c r="E833" s="38"/>
      <c r="F833" s="38"/>
      <c r="G833" s="38"/>
      <c r="H833" s="38"/>
      <c r="I833" s="39"/>
      <c r="J833" s="39"/>
      <c r="K833" s="39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" customHeight="1">
      <c r="A834" s="5"/>
      <c r="B834" s="37"/>
      <c r="C834" s="37"/>
      <c r="D834" s="38"/>
      <c r="E834" s="38"/>
      <c r="F834" s="38"/>
      <c r="G834" s="38"/>
      <c r="H834" s="38"/>
      <c r="I834" s="39"/>
      <c r="J834" s="39"/>
      <c r="K834" s="39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" customHeight="1">
      <c r="A835" s="5"/>
      <c r="B835" s="37"/>
      <c r="C835" s="37"/>
      <c r="D835" s="38"/>
      <c r="E835" s="38"/>
      <c r="F835" s="38"/>
      <c r="G835" s="38"/>
      <c r="H835" s="38"/>
      <c r="I835" s="39"/>
      <c r="J835" s="39"/>
      <c r="K835" s="39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" customHeight="1">
      <c r="A836" s="5"/>
      <c r="B836" s="37"/>
      <c r="C836" s="37"/>
      <c r="D836" s="38"/>
      <c r="E836" s="38"/>
      <c r="F836" s="38"/>
      <c r="G836" s="38"/>
      <c r="H836" s="38"/>
      <c r="I836" s="39"/>
      <c r="J836" s="39"/>
      <c r="K836" s="39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" customHeight="1">
      <c r="A837" s="5"/>
      <c r="B837" s="37"/>
      <c r="C837" s="37"/>
      <c r="D837" s="38"/>
      <c r="E837" s="38"/>
      <c r="F837" s="38"/>
      <c r="G837" s="38"/>
      <c r="H837" s="38"/>
      <c r="I837" s="39"/>
      <c r="J837" s="39"/>
      <c r="K837" s="39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" customHeight="1">
      <c r="A838" s="5"/>
      <c r="B838" s="37"/>
      <c r="C838" s="37"/>
      <c r="D838" s="38"/>
      <c r="E838" s="38"/>
      <c r="F838" s="38"/>
      <c r="G838" s="38"/>
      <c r="H838" s="38"/>
      <c r="I838" s="39"/>
      <c r="J838" s="39"/>
      <c r="K838" s="39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" customHeight="1">
      <c r="A839" s="5"/>
      <c r="B839" s="37"/>
      <c r="C839" s="37"/>
      <c r="D839" s="38"/>
      <c r="E839" s="38"/>
      <c r="F839" s="38"/>
      <c r="G839" s="38"/>
      <c r="H839" s="38"/>
      <c r="I839" s="39"/>
      <c r="J839" s="39"/>
      <c r="K839" s="39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" customHeight="1">
      <c r="A840" s="5"/>
      <c r="B840" s="37"/>
      <c r="C840" s="37"/>
      <c r="D840" s="38"/>
      <c r="E840" s="38"/>
      <c r="F840" s="38"/>
      <c r="G840" s="38"/>
      <c r="H840" s="38"/>
      <c r="I840" s="39"/>
      <c r="J840" s="39"/>
      <c r="K840" s="39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" customHeight="1">
      <c r="A841" s="5"/>
      <c r="B841" s="37"/>
      <c r="C841" s="37"/>
      <c r="D841" s="38"/>
      <c r="E841" s="38"/>
      <c r="F841" s="38"/>
      <c r="G841" s="38"/>
      <c r="H841" s="38"/>
      <c r="I841" s="39"/>
      <c r="J841" s="39"/>
      <c r="K841" s="39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" customHeight="1">
      <c r="A842" s="5"/>
      <c r="B842" s="37"/>
      <c r="C842" s="37"/>
      <c r="D842" s="38"/>
      <c r="E842" s="38"/>
      <c r="F842" s="38"/>
      <c r="G842" s="38"/>
      <c r="H842" s="38"/>
      <c r="I842" s="39"/>
      <c r="J842" s="39"/>
      <c r="K842" s="39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" customHeight="1">
      <c r="A843" s="5"/>
      <c r="B843" s="37"/>
      <c r="C843" s="37"/>
      <c r="D843" s="38"/>
      <c r="E843" s="38"/>
      <c r="F843" s="38"/>
      <c r="G843" s="38"/>
      <c r="H843" s="38"/>
      <c r="I843" s="39"/>
      <c r="J843" s="39"/>
      <c r="K843" s="39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" customHeight="1">
      <c r="A844" s="5"/>
      <c r="B844" s="37"/>
      <c r="C844" s="37"/>
      <c r="D844" s="38"/>
      <c r="E844" s="38"/>
      <c r="F844" s="38"/>
      <c r="G844" s="38"/>
      <c r="H844" s="38"/>
      <c r="I844" s="39"/>
      <c r="J844" s="39"/>
      <c r="K844" s="39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" customHeight="1">
      <c r="A845" s="5"/>
      <c r="B845" s="37"/>
      <c r="C845" s="37"/>
      <c r="D845" s="38"/>
      <c r="E845" s="38"/>
      <c r="F845" s="38"/>
      <c r="G845" s="38"/>
      <c r="H845" s="38"/>
      <c r="I845" s="39"/>
      <c r="J845" s="39"/>
      <c r="K845" s="39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" customHeight="1">
      <c r="A846" s="5"/>
      <c r="B846" s="37"/>
      <c r="C846" s="37"/>
      <c r="D846" s="38"/>
      <c r="E846" s="38"/>
      <c r="F846" s="38"/>
      <c r="G846" s="38"/>
      <c r="H846" s="38"/>
      <c r="I846" s="39"/>
      <c r="J846" s="39"/>
      <c r="K846" s="39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" customHeight="1">
      <c r="A847" s="5"/>
      <c r="B847" s="37"/>
      <c r="C847" s="37"/>
      <c r="D847" s="38"/>
      <c r="E847" s="38"/>
      <c r="F847" s="38"/>
      <c r="G847" s="38"/>
      <c r="H847" s="38"/>
      <c r="I847" s="39"/>
      <c r="J847" s="39"/>
      <c r="K847" s="39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" customHeight="1">
      <c r="A848" s="5"/>
      <c r="B848" s="37"/>
      <c r="C848" s="37"/>
      <c r="D848" s="38"/>
      <c r="E848" s="38"/>
      <c r="F848" s="38"/>
      <c r="G848" s="38"/>
      <c r="H848" s="38"/>
      <c r="I848" s="39"/>
      <c r="J848" s="39"/>
      <c r="K848" s="39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" customHeight="1">
      <c r="A849" s="5"/>
      <c r="B849" s="37"/>
      <c r="C849" s="37"/>
      <c r="D849" s="38"/>
      <c r="E849" s="38"/>
      <c r="F849" s="38"/>
      <c r="G849" s="38"/>
      <c r="H849" s="38"/>
      <c r="I849" s="39"/>
      <c r="J849" s="39"/>
      <c r="K849" s="39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" customHeight="1">
      <c r="A850" s="5"/>
      <c r="B850" s="37"/>
      <c r="C850" s="37"/>
      <c r="D850" s="38"/>
      <c r="E850" s="38"/>
      <c r="F850" s="38"/>
      <c r="G850" s="38"/>
      <c r="H850" s="38"/>
      <c r="I850" s="39"/>
      <c r="J850" s="39"/>
      <c r="K850" s="39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" customHeight="1">
      <c r="A851" s="5"/>
      <c r="B851" s="37"/>
      <c r="C851" s="37"/>
      <c r="D851" s="38"/>
      <c r="E851" s="38"/>
      <c r="F851" s="38"/>
      <c r="G851" s="38"/>
      <c r="H851" s="38"/>
      <c r="I851" s="39"/>
      <c r="J851" s="39"/>
      <c r="K851" s="39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" customHeight="1">
      <c r="A852" s="5"/>
      <c r="B852" s="37"/>
      <c r="C852" s="37"/>
      <c r="D852" s="38"/>
      <c r="E852" s="38"/>
      <c r="F852" s="38"/>
      <c r="G852" s="38"/>
      <c r="H852" s="38"/>
      <c r="I852" s="39"/>
      <c r="J852" s="39"/>
      <c r="K852" s="39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" customHeight="1">
      <c r="A853" s="5"/>
      <c r="B853" s="37"/>
      <c r="C853" s="37"/>
      <c r="D853" s="38"/>
      <c r="E853" s="38"/>
      <c r="F853" s="38"/>
      <c r="G853" s="38"/>
      <c r="H853" s="38"/>
      <c r="I853" s="39"/>
      <c r="J853" s="39"/>
      <c r="K853" s="39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" customHeight="1">
      <c r="A854" s="5"/>
      <c r="B854" s="37"/>
      <c r="C854" s="37"/>
      <c r="D854" s="38"/>
      <c r="E854" s="38"/>
      <c r="F854" s="38"/>
      <c r="G854" s="38"/>
      <c r="H854" s="38"/>
      <c r="I854" s="39"/>
      <c r="J854" s="39"/>
      <c r="K854" s="39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" customHeight="1">
      <c r="A855" s="5"/>
      <c r="B855" s="37"/>
      <c r="C855" s="37"/>
      <c r="D855" s="38"/>
      <c r="E855" s="38"/>
      <c r="F855" s="38"/>
      <c r="G855" s="38"/>
      <c r="H855" s="38"/>
      <c r="I855" s="39"/>
      <c r="J855" s="39"/>
      <c r="K855" s="39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" customHeight="1">
      <c r="A856" s="5"/>
      <c r="B856" s="37"/>
      <c r="C856" s="37"/>
      <c r="D856" s="38"/>
      <c r="E856" s="38"/>
      <c r="F856" s="38"/>
      <c r="G856" s="38"/>
      <c r="H856" s="38"/>
      <c r="I856" s="39"/>
      <c r="J856" s="39"/>
      <c r="K856" s="39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" customHeight="1">
      <c r="A857" s="5"/>
      <c r="B857" s="37"/>
      <c r="C857" s="37"/>
      <c r="D857" s="38"/>
      <c r="E857" s="38"/>
      <c r="F857" s="38"/>
      <c r="G857" s="38"/>
      <c r="H857" s="38"/>
      <c r="I857" s="39"/>
      <c r="J857" s="39"/>
      <c r="K857" s="39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" customHeight="1">
      <c r="A858" s="5"/>
      <c r="B858" s="37"/>
      <c r="C858" s="37"/>
      <c r="D858" s="38"/>
      <c r="E858" s="38"/>
      <c r="F858" s="38"/>
      <c r="G858" s="38"/>
      <c r="H858" s="38"/>
      <c r="I858" s="39"/>
      <c r="J858" s="39"/>
      <c r="K858" s="39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" customHeight="1">
      <c r="A859" s="5"/>
      <c r="B859" s="37"/>
      <c r="C859" s="37"/>
      <c r="D859" s="38"/>
      <c r="E859" s="38"/>
      <c r="F859" s="38"/>
      <c r="G859" s="38"/>
      <c r="H859" s="38"/>
      <c r="I859" s="39"/>
      <c r="J859" s="39"/>
      <c r="K859" s="39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" customHeight="1">
      <c r="A860" s="5"/>
      <c r="B860" s="37"/>
      <c r="C860" s="37"/>
      <c r="D860" s="38"/>
      <c r="E860" s="38"/>
      <c r="F860" s="38"/>
      <c r="G860" s="38"/>
      <c r="H860" s="38"/>
      <c r="I860" s="39"/>
      <c r="J860" s="39"/>
      <c r="K860" s="39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" customHeight="1">
      <c r="A861" s="5"/>
      <c r="B861" s="37"/>
      <c r="C861" s="37"/>
      <c r="D861" s="38"/>
      <c r="E861" s="38"/>
      <c r="F861" s="38"/>
      <c r="G861" s="38"/>
      <c r="H861" s="38"/>
      <c r="I861" s="39"/>
      <c r="J861" s="39"/>
      <c r="K861" s="39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" customHeight="1">
      <c r="A862" s="5"/>
      <c r="B862" s="37"/>
      <c r="C862" s="37"/>
      <c r="D862" s="38"/>
      <c r="E862" s="38"/>
      <c r="F862" s="38"/>
      <c r="G862" s="38"/>
      <c r="H862" s="38"/>
      <c r="I862" s="39"/>
      <c r="J862" s="39"/>
      <c r="K862" s="39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" customHeight="1">
      <c r="A863" s="5"/>
      <c r="B863" s="37"/>
      <c r="C863" s="37"/>
      <c r="D863" s="38"/>
      <c r="E863" s="38"/>
      <c r="F863" s="38"/>
      <c r="G863" s="38"/>
      <c r="H863" s="38"/>
      <c r="I863" s="39"/>
      <c r="J863" s="39"/>
      <c r="K863" s="39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" customHeight="1">
      <c r="A864" s="5"/>
      <c r="B864" s="37"/>
      <c r="C864" s="37"/>
      <c r="D864" s="38"/>
      <c r="E864" s="38"/>
      <c r="F864" s="38"/>
      <c r="G864" s="38"/>
      <c r="H864" s="38"/>
      <c r="I864" s="39"/>
      <c r="J864" s="39"/>
      <c r="K864" s="39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" customHeight="1">
      <c r="A865" s="5"/>
      <c r="B865" s="37"/>
      <c r="C865" s="37"/>
      <c r="D865" s="38"/>
      <c r="E865" s="38"/>
      <c r="F865" s="38"/>
      <c r="G865" s="38"/>
      <c r="H865" s="38"/>
      <c r="I865" s="39"/>
      <c r="J865" s="39"/>
      <c r="K865" s="39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" customHeight="1">
      <c r="A866" s="5"/>
      <c r="B866" s="37"/>
      <c r="C866" s="37"/>
      <c r="D866" s="38"/>
      <c r="E866" s="38"/>
      <c r="F866" s="38"/>
      <c r="G866" s="38"/>
      <c r="H866" s="38"/>
      <c r="I866" s="39"/>
      <c r="J866" s="39"/>
      <c r="K866" s="39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" customHeight="1">
      <c r="A867" s="5"/>
      <c r="B867" s="37"/>
      <c r="C867" s="37"/>
      <c r="D867" s="38"/>
      <c r="E867" s="38"/>
      <c r="F867" s="38"/>
      <c r="G867" s="38"/>
      <c r="H867" s="38"/>
      <c r="I867" s="39"/>
      <c r="J867" s="39"/>
      <c r="K867" s="39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" customHeight="1">
      <c r="A868" s="5"/>
      <c r="B868" s="37"/>
      <c r="C868" s="37"/>
      <c r="D868" s="38"/>
      <c r="E868" s="38"/>
      <c r="F868" s="38"/>
      <c r="G868" s="38"/>
      <c r="H868" s="38"/>
      <c r="I868" s="39"/>
      <c r="J868" s="39"/>
      <c r="K868" s="39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" customHeight="1">
      <c r="A869" s="5"/>
      <c r="B869" s="37"/>
      <c r="C869" s="37"/>
      <c r="D869" s="38"/>
      <c r="E869" s="38"/>
      <c r="F869" s="38"/>
      <c r="G869" s="38"/>
      <c r="H869" s="38"/>
      <c r="I869" s="39"/>
      <c r="J869" s="39"/>
      <c r="K869" s="39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" customHeight="1">
      <c r="A870" s="5"/>
      <c r="B870" s="37"/>
      <c r="C870" s="37"/>
      <c r="D870" s="38"/>
      <c r="E870" s="38"/>
      <c r="F870" s="38"/>
      <c r="G870" s="38"/>
      <c r="H870" s="38"/>
      <c r="I870" s="39"/>
      <c r="J870" s="39"/>
      <c r="K870" s="39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" customHeight="1">
      <c r="A871" s="5"/>
      <c r="B871" s="37"/>
      <c r="C871" s="37"/>
      <c r="D871" s="38"/>
      <c r="E871" s="38"/>
      <c r="F871" s="38"/>
      <c r="G871" s="38"/>
      <c r="H871" s="38"/>
      <c r="I871" s="39"/>
      <c r="J871" s="39"/>
      <c r="K871" s="39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" customHeight="1">
      <c r="A872" s="5"/>
      <c r="B872" s="37"/>
      <c r="C872" s="37"/>
      <c r="D872" s="38"/>
      <c r="E872" s="38"/>
      <c r="F872" s="38"/>
      <c r="G872" s="38"/>
      <c r="H872" s="38"/>
      <c r="I872" s="39"/>
      <c r="J872" s="39"/>
      <c r="K872" s="39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" customHeight="1">
      <c r="A873" s="5"/>
      <c r="B873" s="37"/>
      <c r="C873" s="37"/>
      <c r="D873" s="38"/>
      <c r="E873" s="38"/>
      <c r="F873" s="38"/>
      <c r="G873" s="38"/>
      <c r="H873" s="38"/>
      <c r="I873" s="39"/>
      <c r="J873" s="39"/>
      <c r="K873" s="39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" customHeight="1">
      <c r="A874" s="5"/>
      <c r="B874" s="37"/>
      <c r="C874" s="37"/>
      <c r="D874" s="38"/>
      <c r="E874" s="38"/>
      <c r="F874" s="38"/>
      <c r="G874" s="38"/>
      <c r="H874" s="38"/>
      <c r="I874" s="39"/>
      <c r="J874" s="39"/>
      <c r="K874" s="39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" customHeight="1">
      <c r="A875" s="5"/>
      <c r="B875" s="37"/>
      <c r="C875" s="37"/>
      <c r="D875" s="38"/>
      <c r="E875" s="38"/>
      <c r="F875" s="38"/>
      <c r="G875" s="38"/>
      <c r="H875" s="38"/>
      <c r="I875" s="39"/>
      <c r="J875" s="39"/>
      <c r="K875" s="39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" customHeight="1">
      <c r="A876" s="5"/>
      <c r="B876" s="37"/>
      <c r="C876" s="37"/>
      <c r="D876" s="38"/>
      <c r="E876" s="38"/>
      <c r="F876" s="38"/>
      <c r="G876" s="38"/>
      <c r="H876" s="38"/>
      <c r="I876" s="39"/>
      <c r="J876" s="39"/>
      <c r="K876" s="39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" customHeight="1">
      <c r="A877" s="5"/>
      <c r="B877" s="37"/>
      <c r="C877" s="37"/>
      <c r="D877" s="38"/>
      <c r="E877" s="38"/>
      <c r="F877" s="38"/>
      <c r="G877" s="38"/>
      <c r="H877" s="38"/>
      <c r="I877" s="39"/>
      <c r="J877" s="39"/>
      <c r="K877" s="39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" customHeight="1">
      <c r="A878" s="5"/>
      <c r="B878" s="37"/>
      <c r="C878" s="37"/>
      <c r="D878" s="38"/>
      <c r="E878" s="38"/>
      <c r="F878" s="38"/>
      <c r="G878" s="38"/>
      <c r="H878" s="38"/>
      <c r="I878" s="39"/>
      <c r="J878" s="39"/>
      <c r="K878" s="39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" customHeight="1">
      <c r="A879" s="5"/>
      <c r="B879" s="37"/>
      <c r="C879" s="37"/>
      <c r="D879" s="38"/>
      <c r="E879" s="38"/>
      <c r="F879" s="38"/>
      <c r="G879" s="38"/>
      <c r="H879" s="38"/>
      <c r="I879" s="39"/>
      <c r="J879" s="39"/>
      <c r="K879" s="39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" customHeight="1">
      <c r="A880" s="5"/>
      <c r="B880" s="37"/>
      <c r="C880" s="37"/>
      <c r="D880" s="38"/>
      <c r="E880" s="38"/>
      <c r="F880" s="38"/>
      <c r="G880" s="38"/>
      <c r="H880" s="38"/>
      <c r="I880" s="39"/>
      <c r="J880" s="39"/>
      <c r="K880" s="39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" customHeight="1">
      <c r="A881" s="5"/>
      <c r="B881" s="37"/>
      <c r="C881" s="37"/>
      <c r="D881" s="38"/>
      <c r="E881" s="38"/>
      <c r="F881" s="38"/>
      <c r="G881" s="38"/>
      <c r="H881" s="38"/>
      <c r="I881" s="39"/>
      <c r="J881" s="39"/>
      <c r="K881" s="39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" customHeight="1">
      <c r="A882" s="5"/>
      <c r="B882" s="37"/>
      <c r="C882" s="37"/>
      <c r="D882" s="38"/>
      <c r="E882" s="38"/>
      <c r="F882" s="38"/>
      <c r="G882" s="38"/>
      <c r="H882" s="38"/>
      <c r="I882" s="39"/>
      <c r="J882" s="39"/>
      <c r="K882" s="39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" customHeight="1">
      <c r="A883" s="5"/>
      <c r="B883" s="37"/>
      <c r="C883" s="37"/>
      <c r="D883" s="38"/>
      <c r="E883" s="38"/>
      <c r="F883" s="38"/>
      <c r="G883" s="38"/>
      <c r="H883" s="38"/>
      <c r="I883" s="39"/>
      <c r="J883" s="39"/>
      <c r="K883" s="39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" customHeight="1">
      <c r="A884" s="5"/>
      <c r="B884" s="37"/>
      <c r="C884" s="37"/>
      <c r="D884" s="38"/>
      <c r="E884" s="38"/>
      <c r="F884" s="38"/>
      <c r="G884" s="38"/>
      <c r="H884" s="38"/>
      <c r="I884" s="39"/>
      <c r="J884" s="39"/>
      <c r="K884" s="39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" customHeight="1">
      <c r="A885" s="5"/>
      <c r="B885" s="37"/>
      <c r="C885" s="37"/>
      <c r="D885" s="38"/>
      <c r="E885" s="38"/>
      <c r="F885" s="38"/>
      <c r="G885" s="38"/>
      <c r="H885" s="38"/>
      <c r="I885" s="39"/>
      <c r="J885" s="39"/>
      <c r="K885" s="39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" customHeight="1">
      <c r="A886" s="5"/>
      <c r="B886" s="37"/>
      <c r="C886" s="37"/>
      <c r="D886" s="38"/>
      <c r="E886" s="38"/>
      <c r="F886" s="38"/>
      <c r="G886" s="38"/>
      <c r="H886" s="38"/>
      <c r="I886" s="39"/>
      <c r="J886" s="39"/>
      <c r="K886" s="39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" customHeight="1">
      <c r="A887" s="5"/>
      <c r="B887" s="37"/>
      <c r="C887" s="37"/>
      <c r="D887" s="38"/>
      <c r="E887" s="38"/>
      <c r="F887" s="38"/>
      <c r="G887" s="38"/>
      <c r="H887" s="38"/>
      <c r="I887" s="39"/>
      <c r="J887" s="39"/>
      <c r="K887" s="39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" customHeight="1">
      <c r="A888" s="5"/>
      <c r="B888" s="37"/>
      <c r="C888" s="37"/>
      <c r="D888" s="38"/>
      <c r="E888" s="38"/>
      <c r="F888" s="38"/>
      <c r="G888" s="38"/>
      <c r="H888" s="38"/>
      <c r="I888" s="39"/>
      <c r="J888" s="39"/>
      <c r="K888" s="39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" customHeight="1">
      <c r="A889" s="5"/>
      <c r="B889" s="37"/>
      <c r="C889" s="37"/>
      <c r="D889" s="38"/>
      <c r="E889" s="38"/>
      <c r="F889" s="38"/>
      <c r="G889" s="38"/>
      <c r="H889" s="38"/>
      <c r="I889" s="39"/>
      <c r="J889" s="39"/>
      <c r="K889" s="39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" customHeight="1">
      <c r="A890" s="5"/>
      <c r="B890" s="37"/>
      <c r="C890" s="37"/>
      <c r="D890" s="38"/>
      <c r="E890" s="38"/>
      <c r="F890" s="38"/>
      <c r="G890" s="38"/>
      <c r="H890" s="38"/>
      <c r="I890" s="39"/>
      <c r="J890" s="39"/>
      <c r="K890" s="39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" customHeight="1">
      <c r="A891" s="5"/>
      <c r="B891" s="37"/>
      <c r="C891" s="37"/>
      <c r="D891" s="38"/>
      <c r="E891" s="38"/>
      <c r="F891" s="38"/>
      <c r="G891" s="38"/>
      <c r="H891" s="38"/>
      <c r="I891" s="39"/>
      <c r="J891" s="39"/>
      <c r="K891" s="39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" customHeight="1">
      <c r="A892" s="5"/>
      <c r="B892" s="37"/>
      <c r="C892" s="37"/>
      <c r="D892" s="38"/>
      <c r="E892" s="38"/>
      <c r="F892" s="38"/>
      <c r="G892" s="38"/>
      <c r="H892" s="38"/>
      <c r="I892" s="39"/>
      <c r="J892" s="39"/>
      <c r="K892" s="39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" customHeight="1">
      <c r="A893" s="5"/>
      <c r="B893" s="37"/>
      <c r="C893" s="37"/>
      <c r="D893" s="38"/>
      <c r="E893" s="38"/>
      <c r="F893" s="38"/>
      <c r="G893" s="38"/>
      <c r="H893" s="38"/>
      <c r="I893" s="39"/>
      <c r="J893" s="39"/>
      <c r="K893" s="39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" customHeight="1">
      <c r="A894" s="5"/>
      <c r="B894" s="37"/>
      <c r="C894" s="37"/>
      <c r="D894" s="38"/>
      <c r="E894" s="38"/>
      <c r="F894" s="38"/>
      <c r="G894" s="38"/>
      <c r="H894" s="38"/>
      <c r="I894" s="39"/>
      <c r="J894" s="39"/>
      <c r="K894" s="39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" customHeight="1">
      <c r="A895" s="5"/>
      <c r="B895" s="37"/>
      <c r="C895" s="37"/>
      <c r="D895" s="38"/>
      <c r="E895" s="38"/>
      <c r="F895" s="38"/>
      <c r="G895" s="38"/>
      <c r="H895" s="38"/>
      <c r="I895" s="39"/>
      <c r="J895" s="39"/>
      <c r="K895" s="39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" customHeight="1">
      <c r="A896" s="5"/>
      <c r="B896" s="37"/>
      <c r="C896" s="37"/>
      <c r="D896" s="38"/>
      <c r="E896" s="38"/>
      <c r="F896" s="38"/>
      <c r="G896" s="38"/>
      <c r="H896" s="38"/>
      <c r="I896" s="39"/>
      <c r="J896" s="39"/>
      <c r="K896" s="39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" customHeight="1">
      <c r="A897" s="5"/>
      <c r="B897" s="37"/>
      <c r="C897" s="37"/>
      <c r="D897" s="38"/>
      <c r="E897" s="38"/>
      <c r="F897" s="38"/>
      <c r="G897" s="38"/>
      <c r="H897" s="38"/>
      <c r="I897" s="39"/>
      <c r="J897" s="39"/>
      <c r="K897" s="39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" customHeight="1">
      <c r="A898" s="5"/>
      <c r="B898" s="37"/>
      <c r="C898" s="37"/>
      <c r="D898" s="38"/>
      <c r="E898" s="38"/>
      <c r="F898" s="38"/>
      <c r="G898" s="38"/>
      <c r="H898" s="38"/>
      <c r="I898" s="39"/>
      <c r="J898" s="39"/>
      <c r="K898" s="39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" customHeight="1">
      <c r="A899" s="5"/>
      <c r="B899" s="37"/>
      <c r="C899" s="37"/>
      <c r="D899" s="38"/>
      <c r="E899" s="38"/>
      <c r="F899" s="38"/>
      <c r="G899" s="38"/>
      <c r="H899" s="38"/>
      <c r="I899" s="39"/>
      <c r="J899" s="39"/>
      <c r="K899" s="39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" customHeight="1">
      <c r="A900" s="5"/>
      <c r="B900" s="37"/>
      <c r="C900" s="37"/>
      <c r="D900" s="38"/>
      <c r="E900" s="38"/>
      <c r="F900" s="38"/>
      <c r="G900" s="38"/>
      <c r="H900" s="38"/>
      <c r="I900" s="39"/>
      <c r="J900" s="39"/>
      <c r="K900" s="39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" customHeight="1">
      <c r="A901" s="5"/>
      <c r="B901" s="37"/>
      <c r="C901" s="37"/>
      <c r="D901" s="38"/>
      <c r="E901" s="38"/>
      <c r="F901" s="38"/>
      <c r="G901" s="38"/>
      <c r="H901" s="38"/>
      <c r="I901" s="39"/>
      <c r="J901" s="39"/>
      <c r="K901" s="39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" customHeight="1">
      <c r="A902" s="5"/>
      <c r="B902" s="37"/>
      <c r="C902" s="37"/>
      <c r="D902" s="38"/>
      <c r="E902" s="38"/>
      <c r="F902" s="38"/>
      <c r="G902" s="38"/>
      <c r="H902" s="38"/>
      <c r="I902" s="39"/>
      <c r="J902" s="39"/>
      <c r="K902" s="39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" customHeight="1">
      <c r="A903" s="5"/>
      <c r="B903" s="37"/>
      <c r="C903" s="37"/>
      <c r="D903" s="38"/>
      <c r="E903" s="38"/>
      <c r="F903" s="38"/>
      <c r="G903" s="38"/>
      <c r="H903" s="38"/>
      <c r="I903" s="39"/>
      <c r="J903" s="39"/>
      <c r="K903" s="39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" customHeight="1">
      <c r="A904" s="5"/>
      <c r="B904" s="37"/>
      <c r="C904" s="37"/>
      <c r="D904" s="38"/>
      <c r="E904" s="38"/>
      <c r="F904" s="38"/>
      <c r="G904" s="38"/>
      <c r="H904" s="38"/>
      <c r="I904" s="39"/>
      <c r="J904" s="39"/>
      <c r="K904" s="39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" customHeight="1">
      <c r="A905" s="5"/>
      <c r="B905" s="37"/>
      <c r="C905" s="37"/>
      <c r="D905" s="38"/>
      <c r="E905" s="38"/>
      <c r="F905" s="38"/>
      <c r="G905" s="38"/>
      <c r="H905" s="38"/>
      <c r="I905" s="39"/>
      <c r="J905" s="39"/>
      <c r="K905" s="39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" customHeight="1">
      <c r="A906" s="5"/>
      <c r="B906" s="37"/>
      <c r="C906" s="37"/>
      <c r="D906" s="38"/>
      <c r="E906" s="38"/>
      <c r="F906" s="38"/>
      <c r="G906" s="38"/>
      <c r="H906" s="38"/>
      <c r="I906" s="39"/>
      <c r="J906" s="39"/>
      <c r="K906" s="39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" customHeight="1">
      <c r="A907" s="5"/>
      <c r="B907" s="37"/>
      <c r="C907" s="37"/>
      <c r="D907" s="38"/>
      <c r="E907" s="38"/>
      <c r="F907" s="38"/>
      <c r="G907" s="38"/>
      <c r="H907" s="38"/>
      <c r="I907" s="39"/>
      <c r="J907" s="39"/>
      <c r="K907" s="39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" customHeight="1">
      <c r="A908" s="5"/>
      <c r="B908" s="37"/>
      <c r="C908" s="37"/>
      <c r="D908" s="38"/>
      <c r="E908" s="38"/>
      <c r="F908" s="38"/>
      <c r="G908" s="38"/>
      <c r="H908" s="38"/>
      <c r="I908" s="39"/>
      <c r="J908" s="39"/>
      <c r="K908" s="39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" customHeight="1">
      <c r="A909" s="5"/>
      <c r="B909" s="37"/>
      <c r="C909" s="37"/>
      <c r="D909" s="38"/>
      <c r="E909" s="38"/>
      <c r="F909" s="38"/>
      <c r="G909" s="38"/>
      <c r="H909" s="38"/>
      <c r="I909" s="39"/>
      <c r="J909" s="39"/>
      <c r="K909" s="39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" customHeight="1">
      <c r="A910" s="5"/>
      <c r="B910" s="37"/>
      <c r="C910" s="37"/>
      <c r="D910" s="38"/>
      <c r="E910" s="38"/>
      <c r="F910" s="38"/>
      <c r="G910" s="38"/>
      <c r="H910" s="38"/>
      <c r="I910" s="39"/>
      <c r="J910" s="39"/>
      <c r="K910" s="39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" customHeight="1">
      <c r="A911" s="5"/>
      <c r="B911" s="37"/>
      <c r="C911" s="37"/>
      <c r="D911" s="38"/>
      <c r="E911" s="38"/>
      <c r="F911" s="38"/>
      <c r="G911" s="38"/>
      <c r="H911" s="38"/>
      <c r="I911" s="39"/>
      <c r="J911" s="39"/>
      <c r="K911" s="39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" customHeight="1">
      <c r="A912" s="5"/>
      <c r="B912" s="37"/>
      <c r="C912" s="37"/>
      <c r="D912" s="38"/>
      <c r="E912" s="38"/>
      <c r="F912" s="38"/>
      <c r="G912" s="38"/>
      <c r="H912" s="38"/>
      <c r="I912" s="39"/>
      <c r="J912" s="39"/>
      <c r="K912" s="39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" customHeight="1">
      <c r="A913" s="5"/>
      <c r="B913" s="37"/>
      <c r="C913" s="37"/>
      <c r="D913" s="38"/>
      <c r="E913" s="38"/>
      <c r="F913" s="38"/>
      <c r="G913" s="38"/>
      <c r="H913" s="38"/>
      <c r="I913" s="39"/>
      <c r="J913" s="39"/>
      <c r="K913" s="39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" customHeight="1">
      <c r="A914" s="5"/>
      <c r="B914" s="37"/>
      <c r="C914" s="37"/>
      <c r="D914" s="38"/>
      <c r="E914" s="38"/>
      <c r="F914" s="38"/>
      <c r="G914" s="38"/>
      <c r="H914" s="38"/>
      <c r="I914" s="39"/>
      <c r="J914" s="39"/>
      <c r="K914" s="39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" customHeight="1">
      <c r="A915" s="5"/>
      <c r="B915" s="37"/>
      <c r="C915" s="37"/>
      <c r="D915" s="38"/>
      <c r="E915" s="38"/>
      <c r="F915" s="38"/>
      <c r="G915" s="38"/>
      <c r="H915" s="38"/>
      <c r="I915" s="39"/>
      <c r="J915" s="39"/>
      <c r="K915" s="39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" customHeight="1">
      <c r="A916" s="5"/>
      <c r="B916" s="37"/>
      <c r="C916" s="37"/>
      <c r="D916" s="38"/>
      <c r="E916" s="38"/>
      <c r="F916" s="38"/>
      <c r="G916" s="38"/>
      <c r="H916" s="38"/>
      <c r="I916" s="39"/>
      <c r="J916" s="39"/>
      <c r="K916" s="39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" customHeight="1">
      <c r="A917" s="5"/>
      <c r="B917" s="37"/>
      <c r="C917" s="37"/>
      <c r="D917" s="38"/>
      <c r="E917" s="38"/>
      <c r="F917" s="38"/>
      <c r="G917" s="38"/>
      <c r="H917" s="38"/>
      <c r="I917" s="39"/>
      <c r="J917" s="39"/>
      <c r="K917" s="39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" customHeight="1">
      <c r="A918" s="5"/>
      <c r="B918" s="37"/>
      <c r="C918" s="37"/>
      <c r="D918" s="38"/>
      <c r="E918" s="38"/>
      <c r="F918" s="38"/>
      <c r="G918" s="38"/>
      <c r="H918" s="38"/>
      <c r="I918" s="39"/>
      <c r="J918" s="39"/>
      <c r="K918" s="39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" customHeight="1">
      <c r="A919" s="5"/>
      <c r="B919" s="37"/>
      <c r="C919" s="37"/>
      <c r="D919" s="38"/>
      <c r="E919" s="38"/>
      <c r="F919" s="38"/>
      <c r="G919" s="38"/>
      <c r="H919" s="38"/>
      <c r="I919" s="39"/>
      <c r="J919" s="39"/>
      <c r="K919" s="39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" customHeight="1">
      <c r="A920" s="5"/>
      <c r="B920" s="37"/>
      <c r="C920" s="37"/>
      <c r="D920" s="38"/>
      <c r="E920" s="38"/>
      <c r="F920" s="38"/>
      <c r="G920" s="38"/>
      <c r="H920" s="38"/>
      <c r="I920" s="39"/>
      <c r="J920" s="39"/>
      <c r="K920" s="39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" customHeight="1">
      <c r="A921" s="5"/>
      <c r="B921" s="37"/>
      <c r="C921" s="37"/>
      <c r="D921" s="38"/>
      <c r="E921" s="38"/>
      <c r="F921" s="38"/>
      <c r="G921" s="38"/>
      <c r="H921" s="38"/>
      <c r="I921" s="39"/>
      <c r="J921" s="39"/>
      <c r="K921" s="39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" customHeight="1">
      <c r="A922" s="5"/>
      <c r="B922" s="37"/>
      <c r="C922" s="37"/>
      <c r="D922" s="38"/>
      <c r="E922" s="38"/>
      <c r="F922" s="38"/>
      <c r="G922" s="38"/>
      <c r="H922" s="38"/>
      <c r="I922" s="39"/>
      <c r="J922" s="39"/>
      <c r="K922" s="39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" customHeight="1">
      <c r="A923" s="5"/>
      <c r="B923" s="37"/>
      <c r="C923" s="37"/>
      <c r="D923" s="38"/>
      <c r="E923" s="38"/>
      <c r="F923" s="38"/>
      <c r="G923" s="38"/>
      <c r="H923" s="38"/>
      <c r="I923" s="39"/>
      <c r="J923" s="39"/>
      <c r="K923" s="39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" customHeight="1">
      <c r="A924" s="5"/>
      <c r="B924" s="37"/>
      <c r="C924" s="37"/>
      <c r="D924" s="38"/>
      <c r="E924" s="38"/>
      <c r="F924" s="38"/>
      <c r="G924" s="38"/>
      <c r="H924" s="38"/>
      <c r="I924" s="39"/>
      <c r="J924" s="39"/>
      <c r="K924" s="39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" customHeight="1">
      <c r="A925" s="5"/>
      <c r="B925" s="37"/>
      <c r="C925" s="37"/>
      <c r="D925" s="38"/>
      <c r="E925" s="38"/>
      <c r="F925" s="38"/>
      <c r="G925" s="38"/>
      <c r="H925" s="38"/>
      <c r="I925" s="39"/>
      <c r="J925" s="39"/>
      <c r="K925" s="39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" customHeight="1">
      <c r="A926" s="5"/>
      <c r="B926" s="37"/>
      <c r="C926" s="37"/>
      <c r="D926" s="38"/>
      <c r="E926" s="38"/>
      <c r="F926" s="38"/>
      <c r="G926" s="38"/>
      <c r="H926" s="38"/>
      <c r="I926" s="39"/>
      <c r="J926" s="39"/>
      <c r="K926" s="39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" customHeight="1">
      <c r="A927" s="5"/>
      <c r="B927" s="37"/>
      <c r="C927" s="37"/>
      <c r="D927" s="38"/>
      <c r="E927" s="38"/>
      <c r="F927" s="38"/>
      <c r="G927" s="38"/>
      <c r="H927" s="38"/>
      <c r="I927" s="39"/>
      <c r="J927" s="39"/>
      <c r="K927" s="39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" customHeight="1">
      <c r="A928" s="5"/>
      <c r="B928" s="37"/>
      <c r="C928" s="37"/>
      <c r="D928" s="38"/>
      <c r="E928" s="38"/>
      <c r="F928" s="38"/>
      <c r="G928" s="38"/>
      <c r="H928" s="38"/>
      <c r="I928" s="39"/>
      <c r="J928" s="39"/>
      <c r="K928" s="39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" customHeight="1">
      <c r="A929" s="5"/>
      <c r="B929" s="37"/>
      <c r="C929" s="37"/>
      <c r="D929" s="38"/>
      <c r="E929" s="38"/>
      <c r="F929" s="38"/>
      <c r="G929" s="38"/>
      <c r="H929" s="38"/>
      <c r="I929" s="39"/>
      <c r="J929" s="39"/>
      <c r="K929" s="39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" customHeight="1">
      <c r="A930" s="5"/>
      <c r="B930" s="37"/>
      <c r="C930" s="37"/>
      <c r="D930" s="38"/>
      <c r="E930" s="38"/>
      <c r="F930" s="38"/>
      <c r="G930" s="38"/>
      <c r="H930" s="38"/>
      <c r="I930" s="39"/>
      <c r="J930" s="39"/>
      <c r="K930" s="39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" customHeight="1">
      <c r="A931" s="5"/>
      <c r="B931" s="37"/>
      <c r="C931" s="37"/>
      <c r="D931" s="38"/>
      <c r="E931" s="38"/>
      <c r="F931" s="38"/>
      <c r="G931" s="38"/>
      <c r="H931" s="38"/>
      <c r="I931" s="39"/>
      <c r="J931" s="39"/>
      <c r="K931" s="39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" customHeight="1">
      <c r="A932" s="5"/>
      <c r="B932" s="37"/>
      <c r="C932" s="37"/>
      <c r="D932" s="38"/>
      <c r="E932" s="38"/>
      <c r="F932" s="38"/>
      <c r="G932" s="38"/>
      <c r="H932" s="38"/>
      <c r="I932" s="39"/>
      <c r="J932" s="39"/>
      <c r="K932" s="39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" customHeight="1">
      <c r="A933" s="5"/>
      <c r="B933" s="37"/>
      <c r="C933" s="37"/>
      <c r="D933" s="38"/>
      <c r="E933" s="38"/>
      <c r="F933" s="38"/>
      <c r="G933" s="38"/>
      <c r="H933" s="38"/>
      <c r="I933" s="39"/>
      <c r="J933" s="39"/>
      <c r="K933" s="39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" customHeight="1">
      <c r="A934" s="5"/>
      <c r="B934" s="37"/>
      <c r="C934" s="37"/>
      <c r="D934" s="38"/>
      <c r="E934" s="38"/>
      <c r="F934" s="38"/>
      <c r="G934" s="38"/>
      <c r="H934" s="38"/>
      <c r="I934" s="39"/>
      <c r="J934" s="39"/>
      <c r="K934" s="39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" customHeight="1">
      <c r="A935" s="5"/>
      <c r="B935" s="37"/>
      <c r="C935" s="37"/>
      <c r="D935" s="38"/>
      <c r="E935" s="38"/>
      <c r="F935" s="38"/>
      <c r="G935" s="38"/>
      <c r="H935" s="38"/>
      <c r="I935" s="39"/>
      <c r="J935" s="39"/>
      <c r="K935" s="39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" customHeight="1">
      <c r="A936" s="5"/>
      <c r="B936" s="37"/>
      <c r="C936" s="37"/>
      <c r="D936" s="38"/>
      <c r="E936" s="38"/>
      <c r="F936" s="38"/>
      <c r="G936" s="38"/>
      <c r="H936" s="38"/>
      <c r="I936" s="39"/>
      <c r="J936" s="39"/>
      <c r="K936" s="39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" customHeight="1">
      <c r="A937" s="5"/>
      <c r="B937" s="37"/>
      <c r="C937" s="37"/>
      <c r="D937" s="38"/>
      <c r="E937" s="38"/>
      <c r="F937" s="38"/>
      <c r="G937" s="38"/>
      <c r="H937" s="38"/>
      <c r="I937" s="39"/>
      <c r="J937" s="39"/>
      <c r="K937" s="39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" customHeight="1">
      <c r="A938" s="5"/>
      <c r="B938" s="37"/>
      <c r="C938" s="37"/>
      <c r="D938" s="38"/>
      <c r="E938" s="38"/>
      <c r="F938" s="38"/>
      <c r="G938" s="38"/>
      <c r="H938" s="38"/>
      <c r="I938" s="39"/>
      <c r="J938" s="39"/>
      <c r="K938" s="39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" customHeight="1">
      <c r="A939" s="5"/>
      <c r="B939" s="37"/>
      <c r="C939" s="37"/>
      <c r="D939" s="38"/>
      <c r="E939" s="38"/>
      <c r="F939" s="38"/>
      <c r="G939" s="38"/>
      <c r="H939" s="38"/>
      <c r="I939" s="39"/>
      <c r="J939" s="39"/>
      <c r="K939" s="39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" customHeight="1">
      <c r="A940" s="5"/>
      <c r="B940" s="37"/>
      <c r="C940" s="37"/>
      <c r="D940" s="38"/>
      <c r="E940" s="38"/>
      <c r="F940" s="38"/>
      <c r="G940" s="38"/>
      <c r="H940" s="38"/>
      <c r="I940" s="39"/>
      <c r="J940" s="39"/>
      <c r="K940" s="39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" customHeight="1">
      <c r="A941" s="5"/>
      <c r="B941" s="37"/>
      <c r="C941" s="37"/>
      <c r="D941" s="38"/>
      <c r="E941" s="38"/>
      <c r="F941" s="38"/>
      <c r="G941" s="38"/>
      <c r="H941" s="38"/>
      <c r="I941" s="39"/>
      <c r="J941" s="39"/>
      <c r="K941" s="39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" customHeight="1">
      <c r="A942" s="5"/>
      <c r="B942" s="37"/>
      <c r="C942" s="37"/>
      <c r="D942" s="38"/>
      <c r="E942" s="38"/>
      <c r="F942" s="38"/>
      <c r="G942" s="38"/>
      <c r="H942" s="38"/>
      <c r="I942" s="39"/>
      <c r="J942" s="39"/>
      <c r="K942" s="39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" customHeight="1">
      <c r="A943" s="5"/>
      <c r="B943" s="37"/>
      <c r="C943" s="37"/>
      <c r="D943" s="38"/>
      <c r="E943" s="38"/>
      <c r="F943" s="38"/>
      <c r="G943" s="38"/>
      <c r="H943" s="38"/>
      <c r="I943" s="39"/>
      <c r="J943" s="39"/>
      <c r="K943" s="39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" customHeight="1">
      <c r="A944" s="5"/>
      <c r="B944" s="37"/>
      <c r="C944" s="37"/>
      <c r="D944" s="38"/>
      <c r="E944" s="38"/>
      <c r="F944" s="38"/>
      <c r="G944" s="38"/>
      <c r="H944" s="38"/>
      <c r="I944" s="39"/>
      <c r="J944" s="39"/>
      <c r="K944" s="39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" customHeight="1">
      <c r="A945" s="5"/>
      <c r="B945" s="37"/>
      <c r="C945" s="37"/>
      <c r="D945" s="38"/>
      <c r="E945" s="38"/>
      <c r="F945" s="38"/>
      <c r="G945" s="38"/>
      <c r="H945" s="38"/>
      <c r="I945" s="39"/>
      <c r="J945" s="39"/>
      <c r="K945" s="39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" customHeight="1">
      <c r="A946" s="5"/>
      <c r="B946" s="37"/>
      <c r="C946" s="37"/>
      <c r="D946" s="38"/>
      <c r="E946" s="38"/>
      <c r="F946" s="38"/>
      <c r="G946" s="38"/>
      <c r="H946" s="38"/>
      <c r="I946" s="39"/>
      <c r="J946" s="39"/>
      <c r="K946" s="39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" customHeight="1">
      <c r="A947" s="5"/>
      <c r="B947" s="37"/>
      <c r="C947" s="37"/>
      <c r="D947" s="38"/>
      <c r="E947" s="38"/>
      <c r="F947" s="38"/>
      <c r="G947" s="38"/>
      <c r="H947" s="38"/>
      <c r="I947" s="39"/>
      <c r="J947" s="39"/>
      <c r="K947" s="39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" customHeight="1">
      <c r="A948" s="5"/>
      <c r="B948" s="37"/>
      <c r="C948" s="37"/>
      <c r="D948" s="38"/>
      <c r="E948" s="38"/>
      <c r="F948" s="38"/>
      <c r="G948" s="38"/>
      <c r="H948" s="38"/>
      <c r="I948" s="39"/>
      <c r="J948" s="39"/>
      <c r="K948" s="39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" customHeight="1">
      <c r="A949" s="5"/>
      <c r="B949" s="37"/>
      <c r="C949" s="37"/>
      <c r="D949" s="38"/>
      <c r="E949" s="38"/>
      <c r="F949" s="38"/>
      <c r="G949" s="38"/>
      <c r="H949" s="38"/>
      <c r="I949" s="39"/>
      <c r="J949" s="39"/>
      <c r="K949" s="39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" customHeight="1">
      <c r="A950" s="5"/>
      <c r="B950" s="37"/>
      <c r="C950" s="37"/>
      <c r="D950" s="38"/>
      <c r="E950" s="38"/>
      <c r="F950" s="38"/>
      <c r="G950" s="38"/>
      <c r="H950" s="38"/>
      <c r="I950" s="39"/>
      <c r="J950" s="39"/>
      <c r="K950" s="39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" customHeight="1">
      <c r="A951" s="5"/>
      <c r="B951" s="37"/>
      <c r="C951" s="37"/>
      <c r="D951" s="38"/>
      <c r="E951" s="38"/>
      <c r="F951" s="38"/>
      <c r="G951" s="38"/>
      <c r="H951" s="38"/>
      <c r="I951" s="39"/>
      <c r="J951" s="39"/>
      <c r="K951" s="39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" customHeight="1">
      <c r="A952" s="5"/>
      <c r="B952" s="37"/>
      <c r="C952" s="37"/>
      <c r="D952" s="38"/>
      <c r="E952" s="38"/>
      <c r="F952" s="38"/>
      <c r="G952" s="38"/>
      <c r="H952" s="38"/>
      <c r="I952" s="39"/>
      <c r="J952" s="39"/>
      <c r="K952" s="39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" customHeight="1">
      <c r="A953" s="5"/>
      <c r="B953" s="37"/>
      <c r="C953" s="37"/>
      <c r="D953" s="38"/>
      <c r="E953" s="38"/>
      <c r="F953" s="38"/>
      <c r="G953" s="38"/>
      <c r="H953" s="38"/>
      <c r="I953" s="39"/>
      <c r="J953" s="39"/>
      <c r="K953" s="39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" customHeight="1">
      <c r="A954" s="5"/>
      <c r="B954" s="37"/>
      <c r="C954" s="37"/>
      <c r="D954" s="38"/>
      <c r="E954" s="38"/>
      <c r="F954" s="38"/>
      <c r="G954" s="38"/>
      <c r="H954" s="38"/>
      <c r="I954" s="39"/>
      <c r="J954" s="39"/>
      <c r="K954" s="39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" customHeight="1">
      <c r="A955" s="5"/>
      <c r="B955" s="37"/>
      <c r="C955" s="37"/>
      <c r="D955" s="38"/>
      <c r="E955" s="38"/>
      <c r="F955" s="38"/>
      <c r="G955" s="38"/>
      <c r="H955" s="38"/>
      <c r="I955" s="39"/>
      <c r="J955" s="39"/>
      <c r="K955" s="39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" customHeight="1">
      <c r="A956" s="5"/>
      <c r="B956" s="37"/>
      <c r="C956" s="37"/>
      <c r="D956" s="38"/>
      <c r="E956" s="38"/>
      <c r="F956" s="38"/>
      <c r="G956" s="38"/>
      <c r="H956" s="38"/>
      <c r="I956" s="39"/>
      <c r="J956" s="39"/>
      <c r="K956" s="39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" customHeight="1">
      <c r="A957" s="5"/>
      <c r="B957" s="37"/>
      <c r="C957" s="37"/>
      <c r="D957" s="38"/>
      <c r="E957" s="38"/>
      <c r="F957" s="38"/>
      <c r="G957" s="38"/>
      <c r="H957" s="38"/>
      <c r="I957" s="39"/>
      <c r="J957" s="39"/>
      <c r="K957" s="39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" customHeight="1">
      <c r="A958" s="5"/>
      <c r="B958" s="37"/>
      <c r="C958" s="37"/>
      <c r="D958" s="38"/>
      <c r="E958" s="38"/>
      <c r="F958" s="38"/>
      <c r="G958" s="38"/>
      <c r="H958" s="38"/>
      <c r="I958" s="39"/>
      <c r="J958" s="39"/>
      <c r="K958" s="39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" customHeight="1">
      <c r="A959" s="5"/>
      <c r="B959" s="37"/>
      <c r="C959" s="37"/>
      <c r="D959" s="38"/>
      <c r="E959" s="38"/>
      <c r="F959" s="38"/>
      <c r="G959" s="38"/>
      <c r="H959" s="38"/>
      <c r="I959" s="39"/>
      <c r="J959" s="39"/>
      <c r="K959" s="39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" customHeight="1">
      <c r="A960" s="5"/>
      <c r="B960" s="37"/>
      <c r="C960" s="37"/>
      <c r="D960" s="38"/>
      <c r="E960" s="38"/>
      <c r="F960" s="38"/>
      <c r="G960" s="38"/>
      <c r="H960" s="38"/>
      <c r="I960" s="39"/>
      <c r="J960" s="39"/>
      <c r="K960" s="39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" customHeight="1">
      <c r="A961" s="5"/>
      <c r="B961" s="37"/>
      <c r="C961" s="37"/>
      <c r="D961" s="38"/>
      <c r="E961" s="38"/>
      <c r="F961" s="38"/>
      <c r="G961" s="38"/>
      <c r="H961" s="38"/>
      <c r="I961" s="39"/>
      <c r="J961" s="39"/>
      <c r="K961" s="39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" customHeight="1">
      <c r="A962" s="5"/>
      <c r="B962" s="37"/>
      <c r="C962" s="37"/>
      <c r="D962" s="38"/>
      <c r="E962" s="38"/>
      <c r="F962" s="38"/>
      <c r="G962" s="38"/>
      <c r="H962" s="38"/>
      <c r="I962" s="39"/>
      <c r="J962" s="39"/>
      <c r="K962" s="39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" customHeight="1">
      <c r="A963" s="5"/>
      <c r="B963" s="37"/>
      <c r="C963" s="37"/>
      <c r="D963" s="38"/>
      <c r="E963" s="38"/>
      <c r="F963" s="38"/>
      <c r="G963" s="38"/>
      <c r="H963" s="38"/>
      <c r="I963" s="39"/>
      <c r="J963" s="39"/>
      <c r="K963" s="39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" customHeight="1">
      <c r="A964" s="5"/>
      <c r="B964" s="37"/>
      <c r="C964" s="37"/>
      <c r="D964" s="38"/>
      <c r="E964" s="38"/>
      <c r="F964" s="38"/>
      <c r="G964" s="38"/>
      <c r="H964" s="38"/>
      <c r="I964" s="39"/>
      <c r="J964" s="39"/>
      <c r="K964" s="39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" customHeight="1">
      <c r="A965" s="5"/>
      <c r="B965" s="37"/>
      <c r="C965" s="37"/>
      <c r="D965" s="38"/>
      <c r="E965" s="38"/>
      <c r="F965" s="38"/>
      <c r="G965" s="38"/>
      <c r="H965" s="38"/>
      <c r="I965" s="39"/>
      <c r="J965" s="39"/>
      <c r="K965" s="39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" customHeight="1">
      <c r="A966" s="5"/>
      <c r="B966" s="37"/>
      <c r="C966" s="37"/>
      <c r="D966" s="38"/>
      <c r="E966" s="38"/>
      <c r="F966" s="38"/>
      <c r="G966" s="38"/>
      <c r="H966" s="38"/>
      <c r="I966" s="39"/>
      <c r="J966" s="39"/>
      <c r="K966" s="39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" customHeight="1">
      <c r="A967" s="5"/>
      <c r="B967" s="37"/>
      <c r="C967" s="37"/>
      <c r="D967" s="38"/>
      <c r="E967" s="38"/>
      <c r="F967" s="38"/>
      <c r="G967" s="38"/>
      <c r="H967" s="38"/>
      <c r="I967" s="39"/>
      <c r="J967" s="39"/>
      <c r="K967" s="39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" customHeight="1">
      <c r="A968" s="5"/>
      <c r="B968" s="37"/>
      <c r="C968" s="37"/>
      <c r="D968" s="38"/>
      <c r="E968" s="38"/>
      <c r="F968" s="38"/>
      <c r="G968" s="38"/>
      <c r="H968" s="38"/>
      <c r="I968" s="39"/>
      <c r="J968" s="39"/>
      <c r="K968" s="39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" customHeight="1">
      <c r="A969" s="5"/>
      <c r="B969" s="37"/>
      <c r="C969" s="37"/>
      <c r="D969" s="38"/>
      <c r="E969" s="38"/>
      <c r="F969" s="38"/>
      <c r="G969" s="38"/>
      <c r="H969" s="38"/>
      <c r="I969" s="39"/>
      <c r="J969" s="39"/>
      <c r="K969" s="39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" customHeight="1">
      <c r="A970" s="5"/>
      <c r="B970" s="37"/>
      <c r="C970" s="37"/>
      <c r="D970" s="38"/>
      <c r="E970" s="38"/>
      <c r="F970" s="38"/>
      <c r="G970" s="38"/>
      <c r="H970" s="38"/>
      <c r="I970" s="39"/>
      <c r="J970" s="39"/>
      <c r="K970" s="39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" customHeight="1">
      <c r="A971" s="5"/>
      <c r="B971" s="37"/>
      <c r="C971" s="37"/>
      <c r="D971" s="38"/>
      <c r="E971" s="38"/>
      <c r="F971" s="38"/>
      <c r="G971" s="38"/>
      <c r="H971" s="38"/>
      <c r="I971" s="39"/>
      <c r="J971" s="39"/>
      <c r="K971" s="39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" customHeight="1">
      <c r="A972" s="5"/>
      <c r="B972" s="37"/>
      <c r="C972" s="37"/>
      <c r="D972" s="38"/>
      <c r="E972" s="38"/>
      <c r="F972" s="38"/>
      <c r="G972" s="38"/>
      <c r="H972" s="38"/>
      <c r="I972" s="39"/>
      <c r="J972" s="39"/>
      <c r="K972" s="39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" customHeight="1">
      <c r="A973" s="5"/>
      <c r="B973" s="37"/>
      <c r="C973" s="37"/>
      <c r="D973" s="38"/>
      <c r="E973" s="38"/>
      <c r="F973" s="38"/>
      <c r="G973" s="38"/>
      <c r="H973" s="38"/>
      <c r="I973" s="39"/>
      <c r="J973" s="39"/>
      <c r="K973" s="39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" customHeight="1">
      <c r="A974" s="5"/>
      <c r="B974" s="37"/>
      <c r="C974" s="37"/>
      <c r="D974" s="38"/>
      <c r="E974" s="38"/>
      <c r="F974" s="38"/>
      <c r="G974" s="38"/>
      <c r="H974" s="38"/>
      <c r="I974" s="39"/>
      <c r="J974" s="39"/>
      <c r="K974" s="39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" customHeight="1">
      <c r="A975" s="5"/>
      <c r="B975" s="37"/>
      <c r="C975" s="37"/>
      <c r="D975" s="38"/>
      <c r="E975" s="38"/>
      <c r="F975" s="38"/>
      <c r="G975" s="38"/>
      <c r="H975" s="38"/>
      <c r="I975" s="39"/>
      <c r="J975" s="39"/>
      <c r="K975" s="39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" customHeight="1">
      <c r="A976" s="5"/>
      <c r="B976" s="37"/>
      <c r="C976" s="37"/>
      <c r="D976" s="38"/>
      <c r="E976" s="38"/>
      <c r="F976" s="38"/>
      <c r="G976" s="38"/>
      <c r="H976" s="38"/>
      <c r="I976" s="39"/>
      <c r="J976" s="39"/>
      <c r="K976" s="39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" customHeight="1">
      <c r="A977" s="5"/>
      <c r="B977" s="37"/>
      <c r="C977" s="37"/>
      <c r="D977" s="38"/>
      <c r="E977" s="38"/>
      <c r="F977" s="38"/>
      <c r="G977" s="38"/>
      <c r="H977" s="38"/>
      <c r="I977" s="39"/>
      <c r="J977" s="39"/>
      <c r="K977" s="39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" customHeight="1">
      <c r="A978" s="5"/>
      <c r="B978" s="37"/>
      <c r="C978" s="37"/>
      <c r="D978" s="38"/>
      <c r="E978" s="38"/>
      <c r="F978" s="38"/>
      <c r="G978" s="38"/>
      <c r="H978" s="38"/>
      <c r="I978" s="39"/>
      <c r="J978" s="39"/>
      <c r="K978" s="39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" customHeight="1">
      <c r="A979" s="5"/>
      <c r="B979" s="37"/>
      <c r="C979" s="37"/>
      <c r="D979" s="38"/>
      <c r="E979" s="38"/>
      <c r="F979" s="38"/>
      <c r="G979" s="38"/>
      <c r="H979" s="38"/>
      <c r="I979" s="39"/>
      <c r="J979" s="39"/>
      <c r="K979" s="39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" customHeight="1">
      <c r="A980" s="5"/>
      <c r="B980" s="37"/>
      <c r="C980" s="37"/>
      <c r="D980" s="38"/>
      <c r="E980" s="38"/>
      <c r="F980" s="38"/>
      <c r="G980" s="38"/>
      <c r="H980" s="38"/>
      <c r="I980" s="39"/>
      <c r="J980" s="39"/>
      <c r="K980" s="39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" customHeight="1">
      <c r="A981" s="5"/>
      <c r="B981" s="37"/>
      <c r="C981" s="37"/>
      <c r="D981" s="38"/>
      <c r="E981" s="38"/>
      <c r="F981" s="38"/>
      <c r="G981" s="38"/>
      <c r="H981" s="38"/>
      <c r="I981" s="39"/>
      <c r="J981" s="39"/>
      <c r="K981" s="39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" customHeight="1">
      <c r="A982" s="5"/>
      <c r="B982" s="37"/>
      <c r="C982" s="37"/>
      <c r="D982" s="38"/>
      <c r="E982" s="38"/>
      <c r="F982" s="38"/>
      <c r="G982" s="38"/>
      <c r="H982" s="38"/>
      <c r="I982" s="39"/>
      <c r="J982" s="39"/>
      <c r="K982" s="39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" customHeight="1">
      <c r="A983" s="5"/>
      <c r="B983" s="37"/>
      <c r="C983" s="37"/>
      <c r="D983" s="38"/>
      <c r="E983" s="38"/>
      <c r="F983" s="38"/>
      <c r="G983" s="38"/>
      <c r="H983" s="38"/>
      <c r="I983" s="39"/>
      <c r="J983" s="39"/>
      <c r="K983" s="39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" customHeight="1">
      <c r="A984" s="5"/>
      <c r="B984" s="37"/>
      <c r="C984" s="37"/>
      <c r="D984" s="38"/>
      <c r="E984" s="38"/>
      <c r="F984" s="38"/>
      <c r="G984" s="38"/>
      <c r="H984" s="38"/>
      <c r="I984" s="39"/>
      <c r="J984" s="39"/>
      <c r="K984" s="39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" customHeight="1">
      <c r="A985" s="5"/>
      <c r="B985" s="37"/>
      <c r="C985" s="37"/>
      <c r="D985" s="38"/>
      <c r="E985" s="38"/>
      <c r="F985" s="38"/>
      <c r="G985" s="38"/>
      <c r="H985" s="38"/>
      <c r="I985" s="39"/>
      <c r="J985" s="39"/>
      <c r="K985" s="39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" customHeight="1">
      <c r="A986" s="5"/>
      <c r="B986" s="37"/>
      <c r="C986" s="37"/>
      <c r="D986" s="38"/>
      <c r="E986" s="38"/>
      <c r="F986" s="38"/>
      <c r="G986" s="38"/>
      <c r="H986" s="38"/>
      <c r="I986" s="39"/>
      <c r="J986" s="39"/>
      <c r="K986" s="39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" customHeight="1">
      <c r="A987" s="5"/>
      <c r="B987" s="37"/>
      <c r="C987" s="37"/>
      <c r="D987" s="38"/>
      <c r="E987" s="38"/>
      <c r="F987" s="38"/>
      <c r="G987" s="38"/>
      <c r="H987" s="38"/>
      <c r="I987" s="39"/>
      <c r="J987" s="39"/>
      <c r="K987" s="39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" customHeight="1">
      <c r="A988" s="5"/>
      <c r="B988" s="37"/>
      <c r="C988" s="37"/>
      <c r="D988" s="38"/>
      <c r="E988" s="38"/>
      <c r="F988" s="38"/>
      <c r="G988" s="38"/>
      <c r="H988" s="38"/>
      <c r="I988" s="39"/>
      <c r="J988" s="39"/>
      <c r="K988" s="39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" customHeight="1">
      <c r="A989" s="5"/>
      <c r="B989" s="37"/>
      <c r="C989" s="37"/>
      <c r="D989" s="38"/>
      <c r="E989" s="38"/>
      <c r="F989" s="38"/>
      <c r="G989" s="38"/>
      <c r="H989" s="38"/>
      <c r="I989" s="39"/>
      <c r="J989" s="39"/>
      <c r="K989" s="39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" customHeight="1">
      <c r="A990" s="5"/>
      <c r="B990" s="37"/>
      <c r="C990" s="37"/>
      <c r="D990" s="38"/>
      <c r="E990" s="38"/>
      <c r="F990" s="38"/>
      <c r="G990" s="38"/>
      <c r="H990" s="38"/>
      <c r="I990" s="39"/>
      <c r="J990" s="39"/>
      <c r="K990" s="39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" customHeight="1">
      <c r="A991" s="5"/>
      <c r="B991" s="37"/>
      <c r="C991" s="37"/>
      <c r="D991" s="38"/>
      <c r="E991" s="38"/>
      <c r="F991" s="38"/>
      <c r="G991" s="38"/>
      <c r="H991" s="38"/>
      <c r="I991" s="39"/>
      <c r="J991" s="39"/>
      <c r="K991" s="39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" customHeight="1">
      <c r="A992" s="5"/>
      <c r="B992" s="37"/>
      <c r="C992" s="37"/>
      <c r="D992" s="38"/>
      <c r="E992" s="38"/>
      <c r="F992" s="38"/>
      <c r="G992" s="38"/>
      <c r="H992" s="38"/>
      <c r="I992" s="39"/>
      <c r="J992" s="39"/>
      <c r="K992" s="39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" customHeight="1">
      <c r="A993" s="5"/>
      <c r="B993" s="37"/>
      <c r="C993" s="37"/>
      <c r="D993" s="38"/>
      <c r="E993" s="38"/>
      <c r="F993" s="38"/>
      <c r="G993" s="38"/>
      <c r="H993" s="38"/>
      <c r="I993" s="39"/>
      <c r="J993" s="39"/>
      <c r="K993" s="39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" customHeight="1">
      <c r="A994" s="5"/>
      <c r="B994" s="37"/>
      <c r="C994" s="37"/>
      <c r="D994" s="38"/>
      <c r="E994" s="38"/>
      <c r="F994" s="38"/>
      <c r="G994" s="38"/>
      <c r="H994" s="38"/>
      <c r="I994" s="39"/>
      <c r="J994" s="39"/>
      <c r="K994" s="39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" customHeight="1">
      <c r="A995" s="5"/>
      <c r="B995" s="37"/>
      <c r="C995" s="37"/>
      <c r="D995" s="38"/>
      <c r="E995" s="38"/>
      <c r="F995" s="38"/>
      <c r="G995" s="38"/>
      <c r="H995" s="38"/>
      <c r="I995" s="39"/>
      <c r="J995" s="39"/>
      <c r="K995" s="39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" customHeight="1">
      <c r="A996" s="5"/>
      <c r="B996" s="37"/>
      <c r="C996" s="37"/>
      <c r="D996" s="38"/>
      <c r="E996" s="38"/>
      <c r="F996" s="38"/>
      <c r="G996" s="38"/>
      <c r="H996" s="38"/>
      <c r="I996" s="39"/>
      <c r="J996" s="39"/>
      <c r="K996" s="39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" customHeight="1">
      <c r="A997" s="5"/>
      <c r="B997" s="37"/>
      <c r="C997" s="37"/>
      <c r="D997" s="38"/>
      <c r="E997" s="38"/>
      <c r="F997" s="38"/>
      <c r="G997" s="38"/>
      <c r="H997" s="38"/>
      <c r="I997" s="39"/>
      <c r="J997" s="39"/>
      <c r="K997" s="39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" customHeight="1">
      <c r="A998" s="5"/>
      <c r="B998" s="37"/>
      <c r="C998" s="37"/>
      <c r="D998" s="38"/>
      <c r="E998" s="38"/>
      <c r="F998" s="38"/>
      <c r="G998" s="38"/>
      <c r="H998" s="38"/>
      <c r="I998" s="39"/>
      <c r="J998" s="39"/>
      <c r="K998" s="39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" customHeight="1">
      <c r="A999" s="5"/>
      <c r="B999" s="37"/>
      <c r="C999" s="37"/>
      <c r="D999" s="38"/>
      <c r="E999" s="38"/>
      <c r="F999" s="38"/>
      <c r="G999" s="38"/>
      <c r="H999" s="38"/>
      <c r="I999" s="39"/>
      <c r="J999" s="39"/>
      <c r="K999" s="39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" customHeight="1">
      <c r="A1000" s="5"/>
      <c r="B1000" s="37"/>
      <c r="C1000" s="37"/>
      <c r="D1000" s="38"/>
      <c r="E1000" s="38"/>
      <c r="F1000" s="38"/>
      <c r="G1000" s="38"/>
      <c r="H1000" s="38"/>
      <c r="I1000" s="39"/>
      <c r="J1000" s="39"/>
      <c r="K1000" s="39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1">
    <mergeCell ref="D7:H7"/>
  </mergeCells>
  <dataValidations count="1">
    <dataValidation type="list" allowBlank="1" showErrorMessage="1" sqref="C18:C58" xr:uid="{00000000-0002-0000-0000-000000000000}">
      <formula1>INDIRECT(I18)</formula1>
    </dataValidation>
  </dataValidations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Lists!N1:N5</xm:f>
          </x14:formula1>
          <xm:sqref>C5</xm:sqref>
        </x14:dataValidation>
        <x14:dataValidation type="list" allowBlank="1" showErrorMessage="1" xr:uid="{407A169A-B9B2-4075-8D45-1F58FCD4F488}">
          <x14:formula1>
            <xm:f>Lists!$A$1:$A$12</xm:f>
          </x14:formula1>
          <xm:sqref>B18:B58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AC1000"/>
  <sheetViews>
    <sheetView tabSelected="1" workbookViewId="0">
      <selection activeCell="E38" sqref="E38"/>
    </sheetView>
  </sheetViews>
  <sheetFormatPr defaultColWidth="14.453125" defaultRowHeight="15" customHeight="1"/>
  <cols>
    <col min="1" max="1" width="3.81640625" customWidth="1"/>
    <col min="2" max="2" width="10.81640625" customWidth="1"/>
    <col min="3" max="3" width="18" customWidth="1"/>
    <col min="4" max="4" width="12.7265625" customWidth="1"/>
    <col min="5" max="5" width="15.453125" customWidth="1"/>
    <col min="6" max="6" width="17.81640625" customWidth="1"/>
    <col min="7" max="7" width="14.54296875" customWidth="1"/>
    <col min="8" max="8" width="14.81640625" customWidth="1"/>
    <col min="9" max="9" width="20.08984375" customWidth="1"/>
    <col min="10" max="10" width="9.26953125" customWidth="1"/>
    <col min="11" max="29" width="10.81640625" customWidth="1"/>
  </cols>
  <sheetData>
    <row r="1" spans="1:29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" customHeight="1">
      <c r="A2" s="1"/>
      <c r="B2" s="40" t="s">
        <v>26</v>
      </c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2" customHeight="1">
      <c r="A3" s="1"/>
      <c r="B3" s="9" t="s">
        <v>1</v>
      </c>
      <c r="C3" s="5"/>
      <c r="D3" s="5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" customHeight="1">
      <c r="A4" s="1"/>
      <c r="B4" s="1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" customHeight="1">
      <c r="A5" s="1"/>
      <c r="B5" s="4" t="s">
        <v>2</v>
      </c>
      <c r="C5" s="12" t="s">
        <v>262</v>
      </c>
      <c r="D5" s="1"/>
      <c r="E5" s="1"/>
      <c r="F5" s="4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" customHeight="1">
      <c r="A7" s="1"/>
      <c r="B7" s="1"/>
      <c r="C7" s="1"/>
      <c r="D7" s="1"/>
      <c r="E7" s="152" t="s">
        <v>4</v>
      </c>
      <c r="F7" s="153"/>
      <c r="G7" s="153"/>
      <c r="H7" s="153"/>
      <c r="I7" s="15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" customHeight="1">
      <c r="A8" s="1"/>
      <c r="B8" s="1"/>
      <c r="C8" s="1"/>
      <c r="D8" s="1"/>
      <c r="E8" s="155"/>
      <c r="F8" s="156"/>
      <c r="G8" s="156"/>
      <c r="H8" s="156"/>
      <c r="I8" s="15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5">
      <c r="A9" s="1"/>
      <c r="B9" s="1"/>
      <c r="C9" s="1"/>
      <c r="D9" s="1"/>
      <c r="E9" s="146"/>
      <c r="F9" s="147" t="s">
        <v>5</v>
      </c>
      <c r="G9" s="147" t="s">
        <v>6</v>
      </c>
      <c r="H9" s="147" t="s">
        <v>7</v>
      </c>
      <c r="I9" s="147" t="s">
        <v>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5">
      <c r="A10" s="1"/>
      <c r="B10" s="1"/>
      <c r="C10" s="1"/>
      <c r="D10" s="1"/>
      <c r="E10" s="147" t="s">
        <v>9</v>
      </c>
      <c r="F10" s="148">
        <f>6.38*10^6*VLOOKUP($C$5,'LCA Data'!B115:L121,10,FALSE)</f>
        <v>7396873.8461538451</v>
      </c>
      <c r="G10" s="148">
        <f>1.51*10^8*VLOOKUP(C5,'LCA Data'!B115:M121,12,FALSE)</f>
        <v>155969076.64015052</v>
      </c>
      <c r="H10" s="148">
        <f>VLOOKUP($C$5,'LCA Data'!B115:M121,11,FALSE)</f>
        <v>271387397.26027399</v>
      </c>
      <c r="I10" s="149" t="s">
        <v>10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2" customHeight="1">
      <c r="A11" s="1"/>
      <c r="B11" s="1"/>
      <c r="C11" s="1"/>
      <c r="D11" s="1"/>
      <c r="E11" s="17" t="s">
        <v>11</v>
      </c>
      <c r="F11" s="18">
        <f>'Construction and Materials'!E11</f>
        <v>1946786.1225554205</v>
      </c>
      <c r="G11" s="18">
        <f>'Construction and Materials'!F11</f>
        <v>24872763.290912386</v>
      </c>
      <c r="H11" s="18">
        <f>'Construction and Materials'!G11</f>
        <v>19559007.017727826</v>
      </c>
      <c r="I11" s="19">
        <f>'Construction and Materials'!H11</f>
        <v>5.1083285439024795E-2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2" customHeight="1">
      <c r="A12" s="1"/>
      <c r="B12" s="1"/>
      <c r="C12" s="1"/>
      <c r="D12" s="1"/>
      <c r="E12" s="17" t="s">
        <v>12</v>
      </c>
      <c r="F12" s="20">
        <f>F11/F10</f>
        <v>0.26319039137968964</v>
      </c>
      <c r="G12" s="20">
        <f>G11/G10</f>
        <v>0.15947240200888313</v>
      </c>
      <c r="H12" s="20">
        <f>H11/H10</f>
        <v>7.207043221306908E-2</v>
      </c>
      <c r="I12" s="21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2" customHeight="1">
      <c r="A13" s="1"/>
      <c r="B13" s="1"/>
      <c r="C13" s="1"/>
      <c r="D13" s="1"/>
      <c r="E13" s="22" t="s">
        <v>14</v>
      </c>
      <c r="F13" s="42">
        <f>(F19+F23+F25+F27+F29+F39+F40)*50</f>
        <v>45414.053999999996</v>
      </c>
      <c r="G13" s="42">
        <f>(G19+G23+G25+G27+G29+G39+G40)*50</f>
        <v>506239.08431040001</v>
      </c>
      <c r="H13" s="42">
        <f>(H19+H23+H25+H27+H29+H39+H40)*50</f>
        <v>145234734.79500002</v>
      </c>
      <c r="I13" s="43">
        <f>(I19+I23+I25+I27+I29+I39+I40)*50</f>
        <v>2.3208444E-3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2" customHeight="1">
      <c r="A14" s="1"/>
      <c r="B14" s="1"/>
      <c r="C14" s="1"/>
      <c r="D14" s="1"/>
      <c r="E14" s="22" t="s">
        <v>12</v>
      </c>
      <c r="F14" s="44">
        <f>F13/F10</f>
        <v>6.1396280299702496E-3</v>
      </c>
      <c r="G14" s="44">
        <f>G13/G10</f>
        <v>3.2457657326419079E-3</v>
      </c>
      <c r="H14" s="44">
        <f>H13/H10</f>
        <v>0.53515651891422467</v>
      </c>
      <c r="I14" s="45" t="s">
        <v>13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" customHeight="1">
      <c r="A15" s="1"/>
      <c r="B15" s="1"/>
      <c r="C15" s="1"/>
      <c r="D15" s="1"/>
      <c r="E15" s="27" t="s">
        <v>15</v>
      </c>
      <c r="F15" s="28">
        <f>F14+F12</f>
        <v>0.26933001940965989</v>
      </c>
      <c r="G15" s="28">
        <f>G14+G12</f>
        <v>0.16271816774152503</v>
      </c>
      <c r="H15" s="28">
        <f>H14+H12</f>
        <v>0.60722695112729375</v>
      </c>
      <c r="I15" s="29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" customHeight="1">
      <c r="A16" s="1"/>
      <c r="B16" s="1"/>
      <c r="C16" s="1"/>
      <c r="D16" s="1"/>
      <c r="E16" s="27"/>
      <c r="F16" s="28"/>
      <c r="G16" s="28"/>
      <c r="H16" s="28"/>
      <c r="I16" s="2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" customHeight="1">
      <c r="A17" s="1"/>
      <c r="B17" s="1"/>
      <c r="C17" s="1"/>
      <c r="D17" s="1"/>
      <c r="E17" s="1"/>
      <c r="F17" s="150" t="s">
        <v>27</v>
      </c>
      <c r="G17" s="151"/>
      <c r="H17" s="151"/>
      <c r="I17" s="1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" customHeight="1">
      <c r="A18" s="1"/>
      <c r="B18" s="4" t="s">
        <v>28</v>
      </c>
      <c r="C18" s="46"/>
      <c r="D18" s="46"/>
      <c r="E18" s="46"/>
      <c r="F18" s="30" t="s">
        <v>5</v>
      </c>
      <c r="G18" s="30" t="s">
        <v>6</v>
      </c>
      <c r="H18" s="30" t="s">
        <v>7</v>
      </c>
      <c r="I18" s="30" t="s">
        <v>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" customHeight="1">
      <c r="A19" s="1"/>
      <c r="B19" s="3" t="s">
        <v>29</v>
      </c>
      <c r="C19" s="3"/>
      <c r="D19" s="47"/>
      <c r="E19" s="3" t="s">
        <v>30</v>
      </c>
      <c r="F19" s="34">
        <f>VLOOKUP($C$5,'LCA Data'!B115:J121,2,FALSE)*$D$19</f>
        <v>0</v>
      </c>
      <c r="G19" s="34">
        <f>VLOOKUP($C$5,'LCA Data'!B115:J121,7,FALSE)*$D$19</f>
        <v>0</v>
      </c>
      <c r="H19" s="34">
        <f>VLOOKUP($C$5,'LCA Data'!B115:J121,8,FALSE)*$D$19</f>
        <v>0</v>
      </c>
      <c r="I19" s="48">
        <f>VLOOKUP($C$5,'LCA Data'!B115:J121,9,FALSE)*$D$19</f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" customHeight="1">
      <c r="A20" s="1"/>
      <c r="B20" s="3" t="s">
        <v>31</v>
      </c>
      <c r="C20" s="3"/>
      <c r="D20" s="47">
        <v>216992</v>
      </c>
      <c r="E20" s="3" t="s">
        <v>30</v>
      </c>
      <c r="F20" s="34">
        <f>0*$D$20</f>
        <v>0</v>
      </c>
      <c r="G20" s="34">
        <f>0*$D$20</f>
        <v>0</v>
      </c>
      <c r="H20" s="34">
        <f>0*$D$20</f>
        <v>0</v>
      </c>
      <c r="I20" s="48">
        <f>0*$D$20</f>
        <v>0</v>
      </c>
      <c r="J20" s="4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" customHeight="1">
      <c r="A21" s="1"/>
      <c r="B21" s="3" t="str">
        <f>IF(C5="Ridge","District Heating:","Cogeneration:")</f>
        <v>Cogeneration:</v>
      </c>
      <c r="C21" s="3"/>
      <c r="D21" s="3"/>
      <c r="E21" s="3"/>
      <c r="F21" s="34"/>
      <c r="G21" s="34"/>
      <c r="H21" s="34"/>
      <c r="I21" s="48"/>
      <c r="J21" s="4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" customHeight="1">
      <c r="A22" s="1"/>
      <c r="B22" s="3"/>
      <c r="C22" s="3" t="s">
        <v>32</v>
      </c>
      <c r="D22" s="47" t="s">
        <v>33</v>
      </c>
      <c r="E22" s="3"/>
      <c r="F22" s="34"/>
      <c r="G22" s="34"/>
      <c r="H22" s="34"/>
      <c r="I22" s="48"/>
      <c r="J22" s="49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" customHeight="1">
      <c r="A23" s="1"/>
      <c r="B23" s="3"/>
      <c r="C23" s="3" t="str">
        <f>IF($C$5="Atlantic","Thermal Energy","Electricity")</f>
        <v>Electricity</v>
      </c>
      <c r="D23" s="47"/>
      <c r="E23" s="3" t="s">
        <v>30</v>
      </c>
      <c r="F23" s="34">
        <f>IF($D$22="Select Fuel",0,$D23*(1/($D$24+$D$26+$D$28))*VLOOKUP($D$22,'Cogen Data'!$B$5:$J$14,9,FALSE)*($D$24/($D$24+$D$26+$D$28))*3.6)</f>
        <v>0</v>
      </c>
      <c r="G23" s="34">
        <f>IF($D$22="Select Fuel",0,$D23*(1/($D$24+$D$26+$D$28))*($D$24/($D$24+$D$26+$D$28))*3.6)</f>
        <v>0</v>
      </c>
      <c r="H23" s="34">
        <f>IF($D$22="Select Fuel",0,$D23*(1/($D$24+$D$26+$D$28))*VLOOKUP($D$22,'Cogen Data'!$B$5:$J$14,6,FALSE)/VLOOKUP($D$22,'Cogen Data'!$B$5:$J$14,8,FALSE)*($D$24/($D$24+$D$26+$D$28))*3.6)</f>
        <v>0</v>
      </c>
      <c r="I23" s="48">
        <f>IF($D$22="Select Fuel",0,$D23*(1/($D$24+$D$26+$D$28))*VLOOKUP($D$22,'Cogen Data'!$B$5:$J$14,7,FALSE)/VLOOKUP($D$22,'Cogen Data'!$B$5:$J$14,8,FALSE)*($D$24/($D$24+$D$26+$D$28))*3.6)</f>
        <v>0</v>
      </c>
      <c r="J23" s="49"/>
      <c r="K23" s="5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" customHeight="1">
      <c r="A24" s="1"/>
      <c r="B24" s="3"/>
      <c r="C24" s="51" t="s">
        <v>34</v>
      </c>
      <c r="D24" s="52">
        <v>0</v>
      </c>
      <c r="E24" s="3"/>
      <c r="F24" s="34"/>
      <c r="G24" s="34"/>
      <c r="H24" s="34"/>
      <c r="I24" s="48"/>
      <c r="J24" s="49"/>
      <c r="K24" s="5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" customHeight="1">
      <c r="A25" s="1"/>
      <c r="B25" s="3"/>
      <c r="C25" s="3" t="s">
        <v>35</v>
      </c>
      <c r="D25" s="47"/>
      <c r="E25" s="3" t="s">
        <v>36</v>
      </c>
      <c r="F25" s="34">
        <f>IF($D$22="Select Fuel",0,$D25*(1/($D$24+$D$26+$D$28))*VLOOKUP($D$22,'Cogen Data'!$B$5:$J$14,9,FALSE)*($D$26/($D$24+$D$26+$D$28)))</f>
        <v>0</v>
      </c>
      <c r="G25" s="34">
        <f>IF($D$22="Select Fuel",0,$D25*(1/($D$24+$D$26+$D$28))*($D$26/($D$24+$D$26+$D$28)))</f>
        <v>0</v>
      </c>
      <c r="H25" s="34">
        <f>IF($D$22="Select Fuel",0,$D25*(1/($D$24+$D$26+$D$28))*VLOOKUP($D$22,'Cogen Data'!$B$5:$J$14,6,FALSE)/VLOOKUP($D$22,'Cogen Data'!$B$5:$J$14,8,FALSE)*($D$26/($D$24+$D$26+$D$28)))</f>
        <v>0</v>
      </c>
      <c r="I25" s="48">
        <f>IF($D$22="Select Fuel",0,$D25*(1/($D$24+$D$26+$D$28))*VLOOKUP($D$22,'Cogen Data'!$B$5:$J$14,7,FALSE)/VLOOKUP($D$22,'Cogen Data'!$B$5:$J$14,8,FALSE)*($D$26/($D$24+$D$26+$D$28)))</f>
        <v>0</v>
      </c>
      <c r="J25" s="53"/>
      <c r="K25" s="5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" customHeight="1">
      <c r="A26" s="1"/>
      <c r="B26" s="3"/>
      <c r="C26" s="51" t="s">
        <v>37</v>
      </c>
      <c r="D26" s="52">
        <v>0</v>
      </c>
      <c r="E26" s="3"/>
      <c r="F26" s="34"/>
      <c r="G26" s="34"/>
      <c r="H26" s="34"/>
      <c r="I26" s="48"/>
      <c r="J26" s="53"/>
      <c r="K26" s="5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" customHeight="1">
      <c r="A27" s="1"/>
      <c r="B27" s="3"/>
      <c r="C27" s="3" t="s">
        <v>38</v>
      </c>
      <c r="D27" s="47"/>
      <c r="E27" s="3" t="s">
        <v>30</v>
      </c>
      <c r="F27" s="34">
        <f>IF($D$22="Select Fuel",0,$D27*(1/($D$24+$D$26+$D$28))*VLOOKUP($D$22,'Cogen Data'!$B$5:$J$14,9,FALSE)*($D$28/($D$24+$D$26+$D$28))*3.6)</f>
        <v>0</v>
      </c>
      <c r="G27" s="34">
        <f>IF($D$22="Select Fuel",0,$D27*(1/($D$24+$D$26+$D$28))*($D$28/($D$24+$D$26+$D$28))*3.6)</f>
        <v>0</v>
      </c>
      <c r="H27" s="34">
        <f>IF($D$22="Select Fuel",0,$D27*(1/($D$24+$D$26+$D$28))*VLOOKUP($D$22,'Cogen Data'!$B$5:$J$14,6,FALSE)/VLOOKUP($D$22,'Cogen Data'!$B$5:$J$14,8,FALSE)*($D$28/($D$24+$D$26+$D$28))*3.6)</f>
        <v>0</v>
      </c>
      <c r="I27" s="48">
        <f>IF($D$22="Select Fuel",0,$D27*(1/($D$24+$D$26+$D$28))*VLOOKUP($D$22,'Cogen Data'!$B$5:$J$14,7,FALSE)/VLOOKUP($D$22,'Cogen Data'!$B$5:$J$14,8,FALSE)*($D$28/($D$24+$D$26+$D$28))*3.6)</f>
        <v>0</v>
      </c>
      <c r="J27" s="53"/>
      <c r="K27" s="5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" customHeight="1">
      <c r="A28" s="1"/>
      <c r="B28" s="3"/>
      <c r="C28" s="51" t="s">
        <v>39</v>
      </c>
      <c r="D28" s="52">
        <v>0</v>
      </c>
      <c r="E28" s="3"/>
      <c r="F28" s="53"/>
      <c r="G28" s="53"/>
      <c r="H28" s="53"/>
      <c r="I28" s="54"/>
      <c r="J28" s="53"/>
      <c r="K28" s="5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" customHeight="1">
      <c r="A29" s="1"/>
      <c r="B29" s="3" t="s">
        <v>40</v>
      </c>
      <c r="C29" s="3"/>
      <c r="D29" s="47"/>
      <c r="E29" s="3" t="s">
        <v>41</v>
      </c>
      <c r="F29" s="34">
        <f>$D$29*37*10^6/(1.055*10^9)*(117/2.2) + $D$29*0.38</f>
        <v>0</v>
      </c>
      <c r="G29" s="34">
        <f>37*D29</f>
        <v>0</v>
      </c>
      <c r="H29" s="34">
        <f>0.00618*1000*$D$29</f>
        <v>0</v>
      </c>
      <c r="I29" s="48">
        <f>$D$29*3.07*10^-7</f>
        <v>0</v>
      </c>
      <c r="J29" s="5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" customHeight="1">
      <c r="A30" s="1"/>
      <c r="B30" s="3"/>
      <c r="C30" s="3"/>
      <c r="D30" s="1"/>
      <c r="E30" s="3"/>
      <c r="F30" s="3"/>
      <c r="G30" s="3"/>
      <c r="H30" s="3"/>
      <c r="I30" s="3"/>
      <c r="J30" s="5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" customHeight="1">
      <c r="A31" s="1"/>
      <c r="B31" s="4" t="s">
        <v>42</v>
      </c>
      <c r="C31" s="46"/>
      <c r="D31" s="46"/>
      <c r="E31" s="46"/>
      <c r="F31" s="30" t="s">
        <v>5</v>
      </c>
      <c r="G31" s="30" t="s">
        <v>6</v>
      </c>
      <c r="H31" s="30" t="s">
        <v>7</v>
      </c>
      <c r="I31" s="30" t="s">
        <v>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" customHeight="1">
      <c r="A32" s="1"/>
      <c r="B32" s="3" t="s">
        <v>43</v>
      </c>
      <c r="C32" s="3"/>
      <c r="D32" s="55">
        <v>1</v>
      </c>
      <c r="E32" s="3" t="s">
        <v>44</v>
      </c>
      <c r="F32" s="34">
        <f>900*3*250*IF(NOT(ISBLANK($D$33)),0.75,1)*$D32*0.000317*3.79</f>
        <v>810.96524999999997</v>
      </c>
      <c r="G32" s="34">
        <f>900*3*250*IF(NOT(ISBLANK($D$33)),0.75,1)*$D32*8.44*10^-5*41.868*3.79</f>
        <v>9039.9836484000007</v>
      </c>
      <c r="H32" s="34">
        <f>900*3*250*IF(NOT(ISBLANK($D$33)),0.75,1)*$D32*(1+0.00113*1000)*3.79</f>
        <v>5449072.5</v>
      </c>
      <c r="I32" s="48">
        <f>900*3*250*IF(NOT(ISBLANK($D$33)),0.75,1)*$D32*1.62*10^-11*3.79</f>
        <v>4.1443650000000001E-5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" customHeight="1">
      <c r="A33" s="1"/>
      <c r="B33" s="3" t="s">
        <v>45</v>
      </c>
      <c r="C33" s="3"/>
      <c r="D33" s="55"/>
      <c r="E33" s="3" t="s">
        <v>44</v>
      </c>
      <c r="F33" s="34">
        <f>900*3*250*0.25*$D33*0.000317*3.79</f>
        <v>0</v>
      </c>
      <c r="G33" s="34">
        <f>900*3*250*0.25*$D33*8.44*10^-5*41.868*3.79</f>
        <v>0</v>
      </c>
      <c r="H33" s="34">
        <f>900*3*250*0.25*$D33*(1+0.00113*1000)*3.79</f>
        <v>0</v>
      </c>
      <c r="I33" s="48">
        <f>900*3*250*0.25*$D33*1.62*10^-11*3.79</f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" customHeight="1">
      <c r="A34" s="1"/>
      <c r="B34" s="3" t="s">
        <v>46</v>
      </c>
      <c r="C34" s="3"/>
      <c r="D34" s="55">
        <v>0.2</v>
      </c>
      <c r="E34" s="3" t="s">
        <v>47</v>
      </c>
      <c r="F34" s="34">
        <f>900*0.5*3*250*$D34*0.000317*3.79</f>
        <v>81.096525</v>
      </c>
      <c r="G34" s="34">
        <f>900*0.5*3*250*$D34*8.44*10^-5*41.868*3.79</f>
        <v>903.99836484000002</v>
      </c>
      <c r="H34" s="34">
        <f>900*0.5*3*250*$D34*(1+0.00113*1000)*3.79</f>
        <v>544907.25</v>
      </c>
      <c r="I34" s="48">
        <f>900*0.5*3*250*$D34*1.62*10^-11*3.79</f>
        <v>4.1443649999999997E-6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" customHeight="1">
      <c r="A35" s="1"/>
      <c r="B35" s="3" t="s">
        <v>48</v>
      </c>
      <c r="C35" s="3"/>
      <c r="D35" s="55">
        <v>0.3</v>
      </c>
      <c r="E35" s="3" t="s">
        <v>47</v>
      </c>
      <c r="F35" s="34">
        <f>900*0.2*1*250*$D35*0.000317*3.79</f>
        <v>16.219305000000002</v>
      </c>
      <c r="G35" s="34">
        <f>900*0.2*1*250*$D35*8.44*10^-5*41.868*3.79</f>
        <v>180.79967296800004</v>
      </c>
      <c r="H35" s="34">
        <f>900*0.2*1*250*$D35*(1+0.00113*1000)*3.79</f>
        <v>108981.45</v>
      </c>
      <c r="I35" s="48">
        <f>900*0.2*1*250*$D35*1.62*10^-11*3.79</f>
        <v>8.2887300000000001E-7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" customHeight="1">
      <c r="A36" s="1"/>
      <c r="B36" s="3" t="s">
        <v>49</v>
      </c>
      <c r="C36" s="3"/>
      <c r="D36" s="55"/>
      <c r="E36" s="3" t="s">
        <v>47</v>
      </c>
      <c r="F36" s="34">
        <f>900*0.25*1*250*$D36*0.000317*3.79</f>
        <v>0</v>
      </c>
      <c r="G36" s="34">
        <f>900*0.25*1*250*$D36*8.44*10^-5*41.868*3.79</f>
        <v>0</v>
      </c>
      <c r="H36" s="34">
        <f>900*0.25*1*250*$D36*(1+0.00113*1000)*3.79</f>
        <v>0</v>
      </c>
      <c r="I36" s="48">
        <f>900*0.25*1*250*$D36*1.62*10^-11*3.79</f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" customHeight="1">
      <c r="A37" s="1"/>
      <c r="B37" s="3" t="s">
        <v>50</v>
      </c>
      <c r="C37" s="3"/>
      <c r="D37" s="55"/>
      <c r="E37" s="3" t="s">
        <v>47</v>
      </c>
      <c r="F37" s="34">
        <f>900*0.01*10*250*$D37*0.000317*3.79</f>
        <v>0</v>
      </c>
      <c r="G37" s="34">
        <f>900*0.01*10*250*$D37*8.44*10^-5*41.868*3.79</f>
        <v>0</v>
      </c>
      <c r="H37" s="34">
        <f>900*0.01*10*250*$D37*(1+0.00113*1000)*3.79</f>
        <v>0</v>
      </c>
      <c r="I37" s="48">
        <f>900*0.01*10*250*$D37*1.62*10^-11*3.79</f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>
      <c r="A38" s="1"/>
      <c r="B38" s="3" t="s">
        <v>51</v>
      </c>
      <c r="C38" s="3"/>
      <c r="D38" s="47"/>
      <c r="E38" s="3" t="s">
        <v>52</v>
      </c>
      <c r="F38" s="34">
        <f>$D38*0.000317*3.79</f>
        <v>0</v>
      </c>
      <c r="G38" s="34">
        <f>$D38*8.44*10^-5*41.868*3.79</f>
        <v>0</v>
      </c>
      <c r="H38" s="34">
        <f>$D38*(1+0.00113*1000)*3.79</f>
        <v>0</v>
      </c>
      <c r="I38" s="48">
        <f>$D38*1.62*10^-11*3.79</f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>
      <c r="A39" s="1"/>
      <c r="B39" s="1" t="s">
        <v>53</v>
      </c>
      <c r="C39" s="1"/>
      <c r="D39" s="41">
        <v>3</v>
      </c>
      <c r="E39" s="1"/>
      <c r="F39" s="56">
        <f>SUM(F32:F38)</f>
        <v>908.28107999999997</v>
      </c>
      <c r="G39" s="56">
        <f>SUM(G32:G38)</f>
        <v>10124.781686208</v>
      </c>
      <c r="H39" s="56">
        <f>SUM(H32:H38)</f>
        <v>6102961.2000000002</v>
      </c>
      <c r="I39" s="56">
        <f>SUM(I32:I38)</f>
        <v>4.6416888E-5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>
      <c r="A40" s="1"/>
      <c r="B40" s="3" t="s">
        <v>54</v>
      </c>
      <c r="C40" s="1"/>
      <c r="D40" s="47">
        <v>396183</v>
      </c>
      <c r="E40" s="3" t="s">
        <v>52</v>
      </c>
      <c r="F40" s="8">
        <v>0</v>
      </c>
      <c r="G40" s="8">
        <v>0</v>
      </c>
      <c r="H40" s="34">
        <f>-MIN(D40*(1+0.00113*1000)*3.79,H32+H33+H38)</f>
        <v>-3198266.5040999996</v>
      </c>
      <c r="I40" s="8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" customHeight="1">
      <c r="A41" s="1"/>
      <c r="B41" s="1"/>
      <c r="C41" s="1"/>
      <c r="D41" s="1"/>
      <c r="E41" s="1"/>
      <c r="F41" s="4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>
      <c r="A146" s="1"/>
      <c r="B146" s="37"/>
      <c r="C146" s="37"/>
      <c r="D146" s="37"/>
      <c r="E146" s="37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>
      <c r="A147" s="1"/>
      <c r="B147" s="37"/>
      <c r="C147" s="37"/>
      <c r="D147" s="37"/>
      <c r="E147" s="37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>
      <c r="A148" s="1"/>
      <c r="B148" s="37"/>
      <c r="C148" s="37"/>
      <c r="D148" s="37"/>
      <c r="E148" s="37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>
      <c r="A149" s="1"/>
      <c r="B149" s="37"/>
      <c r="C149" s="37"/>
      <c r="D149" s="37"/>
      <c r="E149" s="37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>
      <c r="A150" s="1"/>
      <c r="B150" s="37"/>
      <c r="C150" s="37"/>
      <c r="D150" s="37"/>
      <c r="E150" s="37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>
      <c r="A151" s="1"/>
      <c r="B151" s="37"/>
      <c r="C151" s="37"/>
      <c r="D151" s="37"/>
      <c r="E151" s="37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>
      <c r="A152" s="1"/>
      <c r="B152" s="37"/>
      <c r="C152" s="37"/>
      <c r="D152" s="37"/>
      <c r="E152" s="37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>
      <c r="A153" s="1"/>
      <c r="B153" s="37"/>
      <c r="C153" s="37"/>
      <c r="D153" s="37"/>
      <c r="E153" s="37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>
      <c r="A154" s="1"/>
      <c r="B154" s="37"/>
      <c r="C154" s="37"/>
      <c r="D154" s="37"/>
      <c r="E154" s="37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>
      <c r="A155" s="1"/>
      <c r="B155" s="37"/>
      <c r="C155" s="37"/>
      <c r="D155" s="37"/>
      <c r="E155" s="37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>
      <c r="A156" s="1"/>
      <c r="B156" s="37"/>
      <c r="C156" s="37"/>
      <c r="D156" s="37"/>
      <c r="E156" s="37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>
      <c r="A157" s="1"/>
      <c r="B157" s="37"/>
      <c r="C157" s="37"/>
      <c r="D157" s="37"/>
      <c r="E157" s="37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>
      <c r="A158" s="1"/>
      <c r="B158" s="37"/>
      <c r="C158" s="37"/>
      <c r="D158" s="37"/>
      <c r="E158" s="37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>
      <c r="A159" s="1"/>
      <c r="B159" s="37"/>
      <c r="C159" s="37"/>
      <c r="D159" s="37"/>
      <c r="E159" s="37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>
      <c r="A160" s="1"/>
      <c r="B160" s="37"/>
      <c r="C160" s="37"/>
      <c r="D160" s="37"/>
      <c r="E160" s="37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>
      <c r="A161" s="1"/>
      <c r="B161" s="37"/>
      <c r="C161" s="37"/>
      <c r="D161" s="37"/>
      <c r="E161" s="37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>
      <c r="A162" s="1"/>
      <c r="B162" s="37"/>
      <c r="C162" s="37"/>
      <c r="D162" s="37"/>
      <c r="E162" s="37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>
      <c r="A163" s="1"/>
      <c r="B163" s="37"/>
      <c r="C163" s="37"/>
      <c r="D163" s="37"/>
      <c r="E163" s="37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>
      <c r="A164" s="1"/>
      <c r="B164" s="37"/>
      <c r="C164" s="37"/>
      <c r="D164" s="37"/>
      <c r="E164" s="37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>
      <c r="A165" s="1"/>
      <c r="B165" s="37"/>
      <c r="C165" s="37"/>
      <c r="D165" s="37"/>
      <c r="E165" s="37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>
      <c r="A166" s="1"/>
      <c r="B166" s="37"/>
      <c r="C166" s="37"/>
      <c r="D166" s="37"/>
      <c r="E166" s="37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>
      <c r="A167" s="1"/>
      <c r="B167" s="37"/>
      <c r="C167" s="37"/>
      <c r="D167" s="37"/>
      <c r="E167" s="37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>
      <c r="A168" s="1"/>
      <c r="B168" s="37"/>
      <c r="C168" s="37"/>
      <c r="D168" s="37"/>
      <c r="E168" s="37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>
      <c r="A169" s="1"/>
      <c r="B169" s="37"/>
      <c r="C169" s="37"/>
      <c r="D169" s="37"/>
      <c r="E169" s="37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>
      <c r="A170" s="1"/>
      <c r="B170" s="37"/>
      <c r="C170" s="37"/>
      <c r="D170" s="37"/>
      <c r="E170" s="37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>
      <c r="A171" s="1"/>
      <c r="B171" s="37"/>
      <c r="C171" s="37"/>
      <c r="D171" s="37"/>
      <c r="E171" s="37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>
      <c r="A172" s="1"/>
      <c r="B172" s="37"/>
      <c r="C172" s="37"/>
      <c r="D172" s="37"/>
      <c r="E172" s="37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>
      <c r="A173" s="1"/>
      <c r="B173" s="37"/>
      <c r="C173" s="37"/>
      <c r="D173" s="37"/>
      <c r="E173" s="37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>
      <c r="A174" s="1"/>
      <c r="B174" s="37"/>
      <c r="C174" s="37"/>
      <c r="D174" s="37"/>
      <c r="E174" s="37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>
      <c r="A175" s="1"/>
      <c r="B175" s="37"/>
      <c r="C175" s="37"/>
      <c r="D175" s="37"/>
      <c r="E175" s="37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>
      <c r="A176" s="1"/>
      <c r="B176" s="37"/>
      <c r="C176" s="37"/>
      <c r="D176" s="37"/>
      <c r="E176" s="37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>
      <c r="A177" s="1"/>
      <c r="B177" s="37"/>
      <c r="C177" s="37"/>
      <c r="D177" s="37"/>
      <c r="E177" s="37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>
      <c r="A178" s="1"/>
      <c r="B178" s="37"/>
      <c r="C178" s="37"/>
      <c r="D178" s="37"/>
      <c r="E178" s="37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>
      <c r="A179" s="1"/>
      <c r="B179" s="37"/>
      <c r="C179" s="37"/>
      <c r="D179" s="37"/>
      <c r="E179" s="37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>
      <c r="A180" s="1"/>
      <c r="B180" s="37"/>
      <c r="C180" s="37"/>
      <c r="D180" s="37"/>
      <c r="E180" s="37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>
      <c r="A181" s="1"/>
      <c r="B181" s="37"/>
      <c r="C181" s="37"/>
      <c r="D181" s="37"/>
      <c r="E181" s="37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>
      <c r="A182" s="1"/>
      <c r="B182" s="37"/>
      <c r="C182" s="37"/>
      <c r="D182" s="37"/>
      <c r="E182" s="37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>
      <c r="A183" s="1"/>
      <c r="B183" s="37"/>
      <c r="C183" s="37"/>
      <c r="D183" s="37"/>
      <c r="E183" s="37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>
      <c r="A184" s="1"/>
      <c r="B184" s="37"/>
      <c r="C184" s="37"/>
      <c r="D184" s="37"/>
      <c r="E184" s="37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>
      <c r="A185" s="1"/>
      <c r="B185" s="37"/>
      <c r="C185" s="37"/>
      <c r="D185" s="37"/>
      <c r="E185" s="37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>
      <c r="A186" s="1"/>
      <c r="B186" s="37"/>
      <c r="C186" s="37"/>
      <c r="D186" s="37"/>
      <c r="E186" s="37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>
      <c r="A187" s="1"/>
      <c r="B187" s="37"/>
      <c r="C187" s="37"/>
      <c r="D187" s="37"/>
      <c r="E187" s="37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>
      <c r="A188" s="1"/>
      <c r="B188" s="37"/>
      <c r="C188" s="37"/>
      <c r="D188" s="37"/>
      <c r="E188" s="37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>
      <c r="A189" s="1"/>
      <c r="B189" s="37"/>
      <c r="C189" s="37"/>
      <c r="D189" s="37"/>
      <c r="E189" s="37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>
      <c r="A190" s="1"/>
      <c r="B190" s="37"/>
      <c r="C190" s="37"/>
      <c r="D190" s="37"/>
      <c r="E190" s="37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>
      <c r="A191" s="1"/>
      <c r="B191" s="37"/>
      <c r="C191" s="37"/>
      <c r="D191" s="37"/>
      <c r="E191" s="37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>
      <c r="A192" s="1"/>
      <c r="B192" s="37"/>
      <c r="C192" s="37"/>
      <c r="D192" s="37"/>
      <c r="E192" s="37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>
      <c r="A193" s="1"/>
      <c r="B193" s="37"/>
      <c r="C193" s="37"/>
      <c r="D193" s="37"/>
      <c r="E193" s="37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>
      <c r="A194" s="1"/>
      <c r="B194" s="37"/>
      <c r="C194" s="37"/>
      <c r="D194" s="37"/>
      <c r="E194" s="37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>
      <c r="A195" s="1"/>
      <c r="B195" s="37"/>
      <c r="C195" s="37"/>
      <c r="D195" s="37"/>
      <c r="E195" s="37"/>
      <c r="F195" s="37"/>
      <c r="G195" s="37"/>
      <c r="H195" s="37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>
      <c r="A196" s="1"/>
      <c r="B196" s="37"/>
      <c r="C196" s="37"/>
      <c r="D196" s="37"/>
      <c r="E196" s="37"/>
      <c r="F196" s="37"/>
      <c r="G196" s="37"/>
      <c r="H196" s="37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>
      <c r="A197" s="1"/>
      <c r="B197" s="37"/>
      <c r="C197" s="37"/>
      <c r="D197" s="37"/>
      <c r="E197" s="37"/>
      <c r="F197" s="37"/>
      <c r="G197" s="37"/>
      <c r="H197" s="37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>
      <c r="A198" s="1"/>
      <c r="B198" s="37"/>
      <c r="C198" s="37"/>
      <c r="D198" s="37"/>
      <c r="E198" s="37"/>
      <c r="F198" s="37"/>
      <c r="G198" s="37"/>
      <c r="H198" s="37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>
      <c r="A199" s="1"/>
      <c r="B199" s="37"/>
      <c r="C199" s="37"/>
      <c r="D199" s="37"/>
      <c r="E199" s="37"/>
      <c r="F199" s="37"/>
      <c r="G199" s="37"/>
      <c r="H199" s="37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>
      <c r="A200" s="1"/>
      <c r="B200" s="37"/>
      <c r="C200" s="37"/>
      <c r="D200" s="37"/>
      <c r="E200" s="37"/>
      <c r="F200" s="37"/>
      <c r="G200" s="37"/>
      <c r="H200" s="37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>
      <c r="A201" s="1"/>
      <c r="B201" s="37"/>
      <c r="C201" s="37"/>
      <c r="D201" s="37"/>
      <c r="E201" s="37"/>
      <c r="F201" s="37"/>
      <c r="G201" s="37"/>
      <c r="H201" s="37"/>
      <c r="I201" s="3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>
      <c r="A202" s="1"/>
      <c r="B202" s="37"/>
      <c r="C202" s="37"/>
      <c r="D202" s="37"/>
      <c r="E202" s="37"/>
      <c r="F202" s="37"/>
      <c r="G202" s="37"/>
      <c r="H202" s="37"/>
      <c r="I202" s="3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>
      <c r="A203" s="1"/>
      <c r="B203" s="37"/>
      <c r="C203" s="37"/>
      <c r="D203" s="37"/>
      <c r="E203" s="37"/>
      <c r="F203" s="37"/>
      <c r="G203" s="37"/>
      <c r="H203" s="37"/>
      <c r="I203" s="3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>
      <c r="A204" s="1"/>
      <c r="B204" s="37"/>
      <c r="C204" s="37"/>
      <c r="D204" s="37"/>
      <c r="E204" s="37"/>
      <c r="F204" s="37"/>
      <c r="G204" s="37"/>
      <c r="H204" s="37"/>
      <c r="I204" s="3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>
      <c r="A205" s="1"/>
      <c r="B205" s="37"/>
      <c r="C205" s="37"/>
      <c r="D205" s="37"/>
      <c r="E205" s="37"/>
      <c r="F205" s="37"/>
      <c r="G205" s="37"/>
      <c r="H205" s="37"/>
      <c r="I205" s="3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>
      <c r="A206" s="1"/>
      <c r="B206" s="37"/>
      <c r="C206" s="37"/>
      <c r="D206" s="37"/>
      <c r="E206" s="37"/>
      <c r="F206" s="37"/>
      <c r="G206" s="37"/>
      <c r="H206" s="37"/>
      <c r="I206" s="3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>
      <c r="A207" s="1"/>
      <c r="B207" s="37"/>
      <c r="C207" s="37"/>
      <c r="D207" s="37"/>
      <c r="E207" s="37"/>
      <c r="F207" s="37"/>
      <c r="G207" s="37"/>
      <c r="H207" s="37"/>
      <c r="I207" s="3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>
      <c r="A208" s="1"/>
      <c r="B208" s="37"/>
      <c r="C208" s="37"/>
      <c r="D208" s="37"/>
      <c r="E208" s="37"/>
      <c r="F208" s="37"/>
      <c r="G208" s="37"/>
      <c r="H208" s="37"/>
      <c r="I208" s="3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>
      <c r="A209" s="1"/>
      <c r="B209" s="37"/>
      <c r="C209" s="37"/>
      <c r="D209" s="37"/>
      <c r="E209" s="37"/>
      <c r="F209" s="37"/>
      <c r="G209" s="37"/>
      <c r="H209" s="37"/>
      <c r="I209" s="3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>
      <c r="A210" s="1"/>
      <c r="B210" s="37"/>
      <c r="C210" s="37"/>
      <c r="D210" s="37"/>
      <c r="E210" s="37"/>
      <c r="F210" s="37"/>
      <c r="G210" s="37"/>
      <c r="H210" s="37"/>
      <c r="I210" s="3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>
      <c r="A211" s="1"/>
      <c r="B211" s="37"/>
      <c r="C211" s="37"/>
      <c r="D211" s="37"/>
      <c r="E211" s="37"/>
      <c r="F211" s="37"/>
      <c r="G211" s="37"/>
      <c r="H211" s="37"/>
      <c r="I211" s="3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>
      <c r="A212" s="1"/>
      <c r="B212" s="37"/>
      <c r="C212" s="37"/>
      <c r="D212" s="37"/>
      <c r="E212" s="37"/>
      <c r="F212" s="37"/>
      <c r="G212" s="37"/>
      <c r="H212" s="37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>
      <c r="A213" s="1"/>
      <c r="B213" s="37"/>
      <c r="C213" s="37"/>
      <c r="D213" s="37"/>
      <c r="E213" s="37"/>
      <c r="F213" s="37"/>
      <c r="G213" s="37"/>
      <c r="H213" s="37"/>
      <c r="I213" s="3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>
      <c r="A214" s="1"/>
      <c r="B214" s="37"/>
      <c r="C214" s="37"/>
      <c r="D214" s="37"/>
      <c r="E214" s="37"/>
      <c r="F214" s="37"/>
      <c r="G214" s="37"/>
      <c r="H214" s="37"/>
      <c r="I214" s="3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>
      <c r="A215" s="1"/>
      <c r="B215" s="37"/>
      <c r="C215" s="37"/>
      <c r="D215" s="37"/>
      <c r="E215" s="37"/>
      <c r="F215" s="37"/>
      <c r="G215" s="37"/>
      <c r="H215" s="37"/>
      <c r="I215" s="3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>
      <c r="A216" s="1"/>
      <c r="B216" s="37"/>
      <c r="C216" s="37"/>
      <c r="D216" s="37"/>
      <c r="E216" s="37"/>
      <c r="F216" s="37"/>
      <c r="G216" s="37"/>
      <c r="H216" s="37"/>
      <c r="I216" s="3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>
      <c r="A217" s="1"/>
      <c r="B217" s="37"/>
      <c r="C217" s="37"/>
      <c r="D217" s="37"/>
      <c r="E217" s="37"/>
      <c r="F217" s="37"/>
      <c r="G217" s="37"/>
      <c r="H217" s="37"/>
      <c r="I217" s="3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>
      <c r="A218" s="1"/>
      <c r="B218" s="37"/>
      <c r="C218" s="37"/>
      <c r="D218" s="37"/>
      <c r="E218" s="37"/>
      <c r="F218" s="37"/>
      <c r="G218" s="37"/>
      <c r="H218" s="37"/>
      <c r="I218" s="3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>
      <c r="A219" s="1"/>
      <c r="B219" s="37"/>
      <c r="C219" s="37"/>
      <c r="D219" s="37"/>
      <c r="E219" s="37"/>
      <c r="F219" s="37"/>
      <c r="G219" s="37"/>
      <c r="H219" s="37"/>
      <c r="I219" s="3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>
      <c r="A220" s="1"/>
      <c r="B220" s="37"/>
      <c r="C220" s="37"/>
      <c r="D220" s="37"/>
      <c r="E220" s="37"/>
      <c r="F220" s="37"/>
      <c r="G220" s="37"/>
      <c r="H220" s="37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>
      <c r="A221" s="1"/>
      <c r="B221" s="37"/>
      <c r="C221" s="37"/>
      <c r="D221" s="37"/>
      <c r="E221" s="37"/>
      <c r="F221" s="37"/>
      <c r="G221" s="37"/>
      <c r="H221" s="37"/>
      <c r="I221" s="3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>
      <c r="A222" s="1"/>
      <c r="B222" s="37"/>
      <c r="C222" s="37"/>
      <c r="D222" s="37"/>
      <c r="E222" s="37"/>
      <c r="F222" s="37"/>
      <c r="G222" s="37"/>
      <c r="H222" s="37"/>
      <c r="I222" s="3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>
      <c r="A223" s="1"/>
      <c r="B223" s="37"/>
      <c r="C223" s="37"/>
      <c r="D223" s="37"/>
      <c r="E223" s="37"/>
      <c r="F223" s="37"/>
      <c r="G223" s="37"/>
      <c r="H223" s="37"/>
      <c r="I223" s="3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>
      <c r="A224" s="1"/>
      <c r="B224" s="37"/>
      <c r="C224" s="37"/>
      <c r="D224" s="37"/>
      <c r="E224" s="37"/>
      <c r="F224" s="37"/>
      <c r="G224" s="37"/>
      <c r="H224" s="37"/>
      <c r="I224" s="3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>
      <c r="A225" s="1"/>
      <c r="B225" s="37"/>
      <c r="C225" s="37"/>
      <c r="D225" s="37"/>
      <c r="E225" s="37"/>
      <c r="F225" s="37"/>
      <c r="G225" s="37"/>
      <c r="H225" s="37"/>
      <c r="I225" s="3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>
      <c r="A226" s="1"/>
      <c r="B226" s="37"/>
      <c r="C226" s="37"/>
      <c r="D226" s="37"/>
      <c r="E226" s="37"/>
      <c r="F226" s="37"/>
      <c r="G226" s="37"/>
      <c r="H226" s="37"/>
      <c r="I226" s="3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>
      <c r="A227" s="1"/>
      <c r="B227" s="37"/>
      <c r="C227" s="37"/>
      <c r="D227" s="37"/>
      <c r="E227" s="37"/>
      <c r="F227" s="37"/>
      <c r="G227" s="37"/>
      <c r="H227" s="37"/>
      <c r="I227" s="3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>
      <c r="A228" s="1"/>
      <c r="B228" s="37"/>
      <c r="C228" s="37"/>
      <c r="D228" s="37"/>
      <c r="E228" s="37"/>
      <c r="F228" s="37"/>
      <c r="G228" s="37"/>
      <c r="H228" s="37"/>
      <c r="I228" s="3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>
      <c r="A229" s="1"/>
      <c r="B229" s="37"/>
      <c r="C229" s="37"/>
      <c r="D229" s="37"/>
      <c r="E229" s="37"/>
      <c r="F229" s="37"/>
      <c r="G229" s="37"/>
      <c r="H229" s="37"/>
      <c r="I229" s="3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>
      <c r="A230" s="1"/>
      <c r="B230" s="37"/>
      <c r="C230" s="37"/>
      <c r="D230" s="37"/>
      <c r="E230" s="37"/>
      <c r="F230" s="37"/>
      <c r="G230" s="37"/>
      <c r="H230" s="37"/>
      <c r="I230" s="3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>
      <c r="A231" s="1"/>
      <c r="B231" s="37"/>
      <c r="C231" s="37"/>
      <c r="D231" s="37"/>
      <c r="E231" s="37"/>
      <c r="F231" s="37"/>
      <c r="G231" s="37"/>
      <c r="H231" s="37"/>
      <c r="I231" s="3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>
      <c r="A232" s="1"/>
      <c r="B232" s="37"/>
      <c r="C232" s="37"/>
      <c r="D232" s="37"/>
      <c r="E232" s="37"/>
      <c r="F232" s="37"/>
      <c r="G232" s="37"/>
      <c r="H232" s="37"/>
      <c r="I232" s="3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>
      <c r="A233" s="1"/>
      <c r="B233" s="37"/>
      <c r="C233" s="37"/>
      <c r="D233" s="37"/>
      <c r="E233" s="37"/>
      <c r="F233" s="37"/>
      <c r="G233" s="37"/>
      <c r="H233" s="37"/>
      <c r="I233" s="3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>
      <c r="A234" s="1"/>
      <c r="B234" s="37"/>
      <c r="C234" s="37"/>
      <c r="D234" s="37"/>
      <c r="E234" s="37"/>
      <c r="F234" s="37"/>
      <c r="G234" s="37"/>
      <c r="H234" s="37"/>
      <c r="I234" s="3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>
      <c r="A235" s="1"/>
      <c r="B235" s="37"/>
      <c r="C235" s="37"/>
      <c r="D235" s="37"/>
      <c r="E235" s="37"/>
      <c r="F235" s="37"/>
      <c r="G235" s="37"/>
      <c r="H235" s="37"/>
      <c r="I235" s="3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>
      <c r="A236" s="1"/>
      <c r="B236" s="37"/>
      <c r="C236" s="37"/>
      <c r="D236" s="37"/>
      <c r="E236" s="37"/>
      <c r="F236" s="37"/>
      <c r="G236" s="37"/>
      <c r="H236" s="37"/>
      <c r="I236" s="3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>
      <c r="A237" s="1"/>
      <c r="B237" s="37"/>
      <c r="C237" s="37"/>
      <c r="D237" s="37"/>
      <c r="E237" s="37"/>
      <c r="F237" s="37"/>
      <c r="G237" s="37"/>
      <c r="H237" s="37"/>
      <c r="I237" s="3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>
      <c r="A238" s="1"/>
      <c r="B238" s="37"/>
      <c r="C238" s="37"/>
      <c r="D238" s="37"/>
      <c r="E238" s="37"/>
      <c r="F238" s="37"/>
      <c r="G238" s="37"/>
      <c r="H238" s="37"/>
      <c r="I238" s="3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>
      <c r="A239" s="1"/>
      <c r="B239" s="37"/>
      <c r="C239" s="37"/>
      <c r="D239" s="37"/>
      <c r="E239" s="37"/>
      <c r="F239" s="37"/>
      <c r="G239" s="37"/>
      <c r="H239" s="37"/>
      <c r="I239" s="3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>
      <c r="A240" s="1"/>
      <c r="B240" s="37"/>
      <c r="C240" s="37"/>
      <c r="D240" s="37"/>
      <c r="E240" s="37"/>
      <c r="F240" s="37"/>
      <c r="G240" s="37"/>
      <c r="H240" s="37"/>
      <c r="I240" s="3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>
      <c r="A241" s="1"/>
      <c r="B241" s="37"/>
      <c r="C241" s="37"/>
      <c r="D241" s="37"/>
      <c r="E241" s="37"/>
      <c r="F241" s="37"/>
      <c r="G241" s="37"/>
      <c r="H241" s="37"/>
      <c r="I241" s="3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>
      <c r="A242" s="1"/>
      <c r="B242" s="37"/>
      <c r="C242" s="37"/>
      <c r="D242" s="37"/>
      <c r="E242" s="37"/>
      <c r="F242" s="37"/>
      <c r="G242" s="37"/>
      <c r="H242" s="37"/>
      <c r="I242" s="3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>
      <c r="A243" s="1"/>
      <c r="B243" s="37"/>
      <c r="C243" s="37"/>
      <c r="D243" s="37"/>
      <c r="E243" s="37"/>
      <c r="F243" s="37"/>
      <c r="G243" s="37"/>
      <c r="H243" s="37"/>
      <c r="I243" s="3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>
      <c r="A244" s="1"/>
      <c r="B244" s="37"/>
      <c r="C244" s="37"/>
      <c r="D244" s="37"/>
      <c r="E244" s="37"/>
      <c r="F244" s="37"/>
      <c r="G244" s="37"/>
      <c r="H244" s="37"/>
      <c r="I244" s="3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>
      <c r="A245" s="1"/>
      <c r="B245" s="37"/>
      <c r="C245" s="37"/>
      <c r="D245" s="37"/>
      <c r="E245" s="37"/>
      <c r="F245" s="37"/>
      <c r="G245" s="37"/>
      <c r="H245" s="37"/>
      <c r="I245" s="3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>
      <c r="A246" s="1"/>
      <c r="B246" s="37"/>
      <c r="C246" s="37"/>
      <c r="D246" s="37"/>
      <c r="E246" s="37"/>
      <c r="F246" s="37"/>
      <c r="G246" s="37"/>
      <c r="H246" s="37"/>
      <c r="I246" s="3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>
      <c r="A247" s="1"/>
      <c r="B247" s="37"/>
      <c r="C247" s="37"/>
      <c r="D247" s="37"/>
      <c r="E247" s="37"/>
      <c r="F247" s="37"/>
      <c r="G247" s="37"/>
      <c r="H247" s="37"/>
      <c r="I247" s="3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>
      <c r="A248" s="1"/>
      <c r="B248" s="37"/>
      <c r="C248" s="37"/>
      <c r="D248" s="37"/>
      <c r="E248" s="37"/>
      <c r="F248" s="37"/>
      <c r="G248" s="37"/>
      <c r="H248" s="37"/>
      <c r="I248" s="3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>
      <c r="A249" s="1"/>
      <c r="B249" s="37"/>
      <c r="C249" s="37"/>
      <c r="D249" s="37"/>
      <c r="E249" s="37"/>
      <c r="F249" s="37"/>
      <c r="G249" s="37"/>
      <c r="H249" s="37"/>
      <c r="I249" s="3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>
      <c r="A250" s="1"/>
      <c r="B250" s="37"/>
      <c r="C250" s="37"/>
      <c r="D250" s="37"/>
      <c r="E250" s="37"/>
      <c r="F250" s="37"/>
      <c r="G250" s="37"/>
      <c r="H250" s="37"/>
      <c r="I250" s="3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>
      <c r="A251" s="1"/>
      <c r="B251" s="37"/>
      <c r="C251" s="37"/>
      <c r="D251" s="37"/>
      <c r="E251" s="37"/>
      <c r="F251" s="37"/>
      <c r="G251" s="37"/>
      <c r="H251" s="37"/>
      <c r="I251" s="3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>
      <c r="A252" s="1"/>
      <c r="B252" s="37"/>
      <c r="C252" s="37"/>
      <c r="D252" s="37"/>
      <c r="E252" s="37"/>
      <c r="F252" s="37"/>
      <c r="G252" s="37"/>
      <c r="H252" s="37"/>
      <c r="I252" s="3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>
      <c r="A253" s="1"/>
      <c r="B253" s="37"/>
      <c r="C253" s="37"/>
      <c r="D253" s="37"/>
      <c r="E253" s="37"/>
      <c r="F253" s="37"/>
      <c r="G253" s="37"/>
      <c r="H253" s="37"/>
      <c r="I253" s="3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>
      <c r="A254" s="1"/>
      <c r="B254" s="37"/>
      <c r="C254" s="37"/>
      <c r="D254" s="37"/>
      <c r="E254" s="37"/>
      <c r="F254" s="37"/>
      <c r="G254" s="37"/>
      <c r="H254" s="37"/>
      <c r="I254" s="3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>
      <c r="A255" s="1"/>
      <c r="B255" s="37"/>
      <c r="C255" s="37"/>
      <c r="D255" s="37"/>
      <c r="E255" s="37"/>
      <c r="F255" s="37"/>
      <c r="G255" s="37"/>
      <c r="H255" s="37"/>
      <c r="I255" s="3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>
      <c r="A256" s="1"/>
      <c r="B256" s="37"/>
      <c r="C256" s="37"/>
      <c r="D256" s="37"/>
      <c r="E256" s="37"/>
      <c r="F256" s="37"/>
      <c r="G256" s="37"/>
      <c r="H256" s="37"/>
      <c r="I256" s="3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>
      <c r="A257" s="1"/>
      <c r="B257" s="37"/>
      <c r="C257" s="37"/>
      <c r="D257" s="37"/>
      <c r="E257" s="37"/>
      <c r="F257" s="37"/>
      <c r="G257" s="37"/>
      <c r="H257" s="37"/>
      <c r="I257" s="3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>
      <c r="A258" s="1"/>
      <c r="B258" s="37"/>
      <c r="C258" s="37"/>
      <c r="D258" s="37"/>
      <c r="E258" s="37"/>
      <c r="F258" s="37"/>
      <c r="G258" s="37"/>
      <c r="H258" s="37"/>
      <c r="I258" s="3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>
      <c r="A259" s="1"/>
      <c r="B259" s="37"/>
      <c r="C259" s="37"/>
      <c r="D259" s="37"/>
      <c r="E259" s="37"/>
      <c r="F259" s="37"/>
      <c r="G259" s="37"/>
      <c r="H259" s="37"/>
      <c r="I259" s="3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>
      <c r="A260" s="1"/>
      <c r="B260" s="37"/>
      <c r="C260" s="37"/>
      <c r="D260" s="37"/>
      <c r="E260" s="37"/>
      <c r="F260" s="37"/>
      <c r="G260" s="37"/>
      <c r="H260" s="37"/>
      <c r="I260" s="3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>
      <c r="A261" s="1"/>
      <c r="B261" s="37"/>
      <c r="C261" s="37"/>
      <c r="D261" s="37"/>
      <c r="E261" s="37"/>
      <c r="F261" s="37"/>
      <c r="G261" s="37"/>
      <c r="H261" s="37"/>
      <c r="I261" s="3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>
      <c r="A262" s="1"/>
      <c r="B262" s="37"/>
      <c r="C262" s="37"/>
      <c r="D262" s="37"/>
      <c r="E262" s="37"/>
      <c r="F262" s="37"/>
      <c r="G262" s="37"/>
      <c r="H262" s="37"/>
      <c r="I262" s="3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>
      <c r="A263" s="1"/>
      <c r="B263" s="37"/>
      <c r="C263" s="37"/>
      <c r="D263" s="37"/>
      <c r="E263" s="37"/>
      <c r="F263" s="37"/>
      <c r="G263" s="37"/>
      <c r="H263" s="37"/>
      <c r="I263" s="3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>
      <c r="A264" s="1"/>
      <c r="B264" s="37"/>
      <c r="C264" s="37"/>
      <c r="D264" s="37"/>
      <c r="E264" s="37"/>
      <c r="F264" s="37"/>
      <c r="G264" s="37"/>
      <c r="H264" s="37"/>
      <c r="I264" s="3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>
      <c r="A265" s="1"/>
      <c r="B265" s="37"/>
      <c r="C265" s="37"/>
      <c r="D265" s="37"/>
      <c r="E265" s="37"/>
      <c r="F265" s="37"/>
      <c r="G265" s="37"/>
      <c r="H265" s="37"/>
      <c r="I265" s="3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>
      <c r="A266" s="1"/>
      <c r="B266" s="37"/>
      <c r="C266" s="37"/>
      <c r="D266" s="37"/>
      <c r="E266" s="37"/>
      <c r="F266" s="37"/>
      <c r="G266" s="37"/>
      <c r="H266" s="37"/>
      <c r="I266" s="3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>
      <c r="A267" s="1"/>
      <c r="B267" s="37"/>
      <c r="C267" s="37"/>
      <c r="D267" s="37"/>
      <c r="E267" s="37"/>
      <c r="F267" s="37"/>
      <c r="G267" s="37"/>
      <c r="H267" s="37"/>
      <c r="I267" s="3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>
      <c r="A268" s="1"/>
      <c r="B268" s="37"/>
      <c r="C268" s="37"/>
      <c r="D268" s="37"/>
      <c r="E268" s="37"/>
      <c r="F268" s="37"/>
      <c r="G268" s="37"/>
      <c r="H268" s="37"/>
      <c r="I268" s="3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>
      <c r="A269" s="1"/>
      <c r="B269" s="37"/>
      <c r="C269" s="37"/>
      <c r="D269" s="37"/>
      <c r="E269" s="37"/>
      <c r="F269" s="37"/>
      <c r="G269" s="37"/>
      <c r="H269" s="37"/>
      <c r="I269" s="3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>
      <c r="A270" s="1"/>
      <c r="B270" s="37"/>
      <c r="C270" s="37"/>
      <c r="D270" s="37"/>
      <c r="E270" s="37"/>
      <c r="F270" s="37"/>
      <c r="G270" s="37"/>
      <c r="H270" s="37"/>
      <c r="I270" s="3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>
      <c r="A271" s="1"/>
      <c r="B271" s="37"/>
      <c r="C271" s="37"/>
      <c r="D271" s="37"/>
      <c r="E271" s="37"/>
      <c r="F271" s="37"/>
      <c r="G271" s="37"/>
      <c r="H271" s="37"/>
      <c r="I271" s="3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>
      <c r="A272" s="1"/>
      <c r="B272" s="37"/>
      <c r="C272" s="37"/>
      <c r="D272" s="37"/>
      <c r="E272" s="37"/>
      <c r="F272" s="37"/>
      <c r="G272" s="37"/>
      <c r="H272" s="37"/>
      <c r="I272" s="3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>
      <c r="A273" s="1"/>
      <c r="B273" s="37"/>
      <c r="C273" s="37"/>
      <c r="D273" s="37"/>
      <c r="E273" s="37"/>
      <c r="F273" s="37"/>
      <c r="G273" s="37"/>
      <c r="H273" s="37"/>
      <c r="I273" s="3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>
      <c r="A274" s="1"/>
      <c r="B274" s="37"/>
      <c r="C274" s="37"/>
      <c r="D274" s="37"/>
      <c r="E274" s="37"/>
      <c r="F274" s="37"/>
      <c r="G274" s="37"/>
      <c r="H274" s="37"/>
      <c r="I274" s="3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>
      <c r="A275" s="1"/>
      <c r="B275" s="37"/>
      <c r="C275" s="37"/>
      <c r="D275" s="37"/>
      <c r="E275" s="37"/>
      <c r="F275" s="37"/>
      <c r="G275" s="37"/>
      <c r="H275" s="37"/>
      <c r="I275" s="3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>
      <c r="A276" s="1"/>
      <c r="B276" s="37"/>
      <c r="C276" s="37"/>
      <c r="D276" s="37"/>
      <c r="E276" s="37"/>
      <c r="F276" s="37"/>
      <c r="G276" s="37"/>
      <c r="H276" s="37"/>
      <c r="I276" s="3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>
      <c r="A277" s="1"/>
      <c r="B277" s="37"/>
      <c r="C277" s="37"/>
      <c r="D277" s="37"/>
      <c r="E277" s="37"/>
      <c r="F277" s="37"/>
      <c r="G277" s="37"/>
      <c r="H277" s="37"/>
      <c r="I277" s="3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>
      <c r="A278" s="1"/>
      <c r="B278" s="37"/>
      <c r="C278" s="37"/>
      <c r="D278" s="37"/>
      <c r="E278" s="37"/>
      <c r="F278" s="37"/>
      <c r="G278" s="37"/>
      <c r="H278" s="37"/>
      <c r="I278" s="3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>
      <c r="A279" s="1"/>
      <c r="B279" s="37"/>
      <c r="C279" s="37"/>
      <c r="D279" s="37"/>
      <c r="E279" s="37"/>
      <c r="F279" s="37"/>
      <c r="G279" s="37"/>
      <c r="H279" s="37"/>
      <c r="I279" s="3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>
      <c r="A280" s="1"/>
      <c r="B280" s="37"/>
      <c r="C280" s="37"/>
      <c r="D280" s="37"/>
      <c r="E280" s="37"/>
      <c r="F280" s="37"/>
      <c r="G280" s="37"/>
      <c r="H280" s="37"/>
      <c r="I280" s="3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>
      <c r="A281" s="1"/>
      <c r="B281" s="37"/>
      <c r="C281" s="37"/>
      <c r="D281" s="37"/>
      <c r="E281" s="37"/>
      <c r="F281" s="37"/>
      <c r="G281" s="37"/>
      <c r="H281" s="37"/>
      <c r="I281" s="3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>
      <c r="A282" s="1"/>
      <c r="B282" s="37"/>
      <c r="C282" s="37"/>
      <c r="D282" s="37"/>
      <c r="E282" s="37"/>
      <c r="F282" s="37"/>
      <c r="G282" s="37"/>
      <c r="H282" s="37"/>
      <c r="I282" s="3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>
      <c r="A283" s="1"/>
      <c r="B283" s="37"/>
      <c r="C283" s="37"/>
      <c r="D283" s="37"/>
      <c r="E283" s="37"/>
      <c r="F283" s="37"/>
      <c r="G283" s="37"/>
      <c r="H283" s="37"/>
      <c r="I283" s="3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>
      <c r="A284" s="1"/>
      <c r="B284" s="37"/>
      <c r="C284" s="37"/>
      <c r="D284" s="37"/>
      <c r="E284" s="37"/>
      <c r="F284" s="37"/>
      <c r="G284" s="37"/>
      <c r="H284" s="37"/>
      <c r="I284" s="3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>
      <c r="A285" s="1"/>
      <c r="B285" s="37"/>
      <c r="C285" s="37"/>
      <c r="D285" s="37"/>
      <c r="E285" s="37"/>
      <c r="F285" s="37"/>
      <c r="G285" s="37"/>
      <c r="H285" s="37"/>
      <c r="I285" s="3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>
      <c r="A286" s="1"/>
      <c r="B286" s="37"/>
      <c r="C286" s="37"/>
      <c r="D286" s="37"/>
      <c r="E286" s="37"/>
      <c r="F286" s="37"/>
      <c r="G286" s="37"/>
      <c r="H286" s="37"/>
      <c r="I286" s="3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>
      <c r="A287" s="1"/>
      <c r="B287" s="37"/>
      <c r="C287" s="37"/>
      <c r="D287" s="37"/>
      <c r="E287" s="37"/>
      <c r="F287" s="37"/>
      <c r="G287" s="37"/>
      <c r="H287" s="37"/>
      <c r="I287" s="3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>
      <c r="A288" s="1"/>
      <c r="B288" s="37"/>
      <c r="C288" s="37"/>
      <c r="D288" s="37"/>
      <c r="E288" s="37"/>
      <c r="F288" s="37"/>
      <c r="G288" s="37"/>
      <c r="H288" s="37"/>
      <c r="I288" s="3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>
      <c r="A289" s="1"/>
      <c r="B289" s="37"/>
      <c r="C289" s="37"/>
      <c r="D289" s="37"/>
      <c r="E289" s="37"/>
      <c r="F289" s="37"/>
      <c r="G289" s="37"/>
      <c r="H289" s="37"/>
      <c r="I289" s="3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>
      <c r="A290" s="1"/>
      <c r="B290" s="37"/>
      <c r="C290" s="37"/>
      <c r="D290" s="37"/>
      <c r="E290" s="37"/>
      <c r="F290" s="37"/>
      <c r="G290" s="37"/>
      <c r="H290" s="37"/>
      <c r="I290" s="3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>
      <c r="A291" s="1"/>
      <c r="B291" s="37"/>
      <c r="C291" s="37"/>
      <c r="D291" s="37"/>
      <c r="E291" s="37"/>
      <c r="F291" s="37"/>
      <c r="G291" s="37"/>
      <c r="H291" s="37"/>
      <c r="I291" s="3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>
      <c r="A292" s="1"/>
      <c r="B292" s="37"/>
      <c r="C292" s="37"/>
      <c r="D292" s="37"/>
      <c r="E292" s="37"/>
      <c r="F292" s="37"/>
      <c r="G292" s="37"/>
      <c r="H292" s="37"/>
      <c r="I292" s="3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>
      <c r="A293" s="1"/>
      <c r="B293" s="37"/>
      <c r="C293" s="37"/>
      <c r="D293" s="37"/>
      <c r="E293" s="37"/>
      <c r="F293" s="37"/>
      <c r="G293" s="37"/>
      <c r="H293" s="37"/>
      <c r="I293" s="3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>
      <c r="A294" s="1"/>
      <c r="B294" s="37"/>
      <c r="C294" s="37"/>
      <c r="D294" s="37"/>
      <c r="E294" s="37"/>
      <c r="F294" s="37"/>
      <c r="G294" s="37"/>
      <c r="H294" s="37"/>
      <c r="I294" s="3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>
      <c r="A295" s="1"/>
      <c r="B295" s="37"/>
      <c r="C295" s="37"/>
      <c r="D295" s="37"/>
      <c r="E295" s="37"/>
      <c r="F295" s="37"/>
      <c r="G295" s="37"/>
      <c r="H295" s="37"/>
      <c r="I295" s="3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>
      <c r="A296" s="1"/>
      <c r="B296" s="37"/>
      <c r="C296" s="37"/>
      <c r="D296" s="37"/>
      <c r="E296" s="37"/>
      <c r="F296" s="37"/>
      <c r="G296" s="37"/>
      <c r="H296" s="37"/>
      <c r="I296" s="3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>
      <c r="A297" s="1"/>
      <c r="B297" s="37"/>
      <c r="C297" s="37"/>
      <c r="D297" s="37"/>
      <c r="E297" s="37"/>
      <c r="F297" s="37"/>
      <c r="G297" s="37"/>
      <c r="H297" s="37"/>
      <c r="I297" s="3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>
      <c r="A298" s="1"/>
      <c r="B298" s="37"/>
      <c r="C298" s="37"/>
      <c r="D298" s="37"/>
      <c r="E298" s="37"/>
      <c r="F298" s="37"/>
      <c r="G298" s="37"/>
      <c r="H298" s="37"/>
      <c r="I298" s="3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>
      <c r="A299" s="1"/>
      <c r="B299" s="37"/>
      <c r="C299" s="37"/>
      <c r="D299" s="37"/>
      <c r="E299" s="37"/>
      <c r="F299" s="37"/>
      <c r="G299" s="37"/>
      <c r="H299" s="37"/>
      <c r="I299" s="3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>
      <c r="A300" s="1"/>
      <c r="B300" s="37"/>
      <c r="C300" s="37"/>
      <c r="D300" s="37"/>
      <c r="E300" s="37"/>
      <c r="F300" s="37"/>
      <c r="G300" s="37"/>
      <c r="H300" s="37"/>
      <c r="I300" s="3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>
      <c r="A301" s="1"/>
      <c r="B301" s="37"/>
      <c r="C301" s="37"/>
      <c r="D301" s="37"/>
      <c r="E301" s="37"/>
      <c r="F301" s="37"/>
      <c r="G301" s="37"/>
      <c r="H301" s="37"/>
      <c r="I301" s="3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>
      <c r="A302" s="1"/>
      <c r="B302" s="37"/>
      <c r="C302" s="37"/>
      <c r="D302" s="37"/>
      <c r="E302" s="37"/>
      <c r="F302" s="37"/>
      <c r="G302" s="37"/>
      <c r="H302" s="37"/>
      <c r="I302" s="3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>
      <c r="A303" s="1"/>
      <c r="B303" s="37"/>
      <c r="C303" s="37"/>
      <c r="D303" s="37"/>
      <c r="E303" s="37"/>
      <c r="F303" s="37"/>
      <c r="G303" s="37"/>
      <c r="H303" s="37"/>
      <c r="I303" s="3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>
      <c r="A304" s="1"/>
      <c r="B304" s="37"/>
      <c r="C304" s="37"/>
      <c r="D304" s="37"/>
      <c r="E304" s="37"/>
      <c r="F304" s="37"/>
      <c r="G304" s="37"/>
      <c r="H304" s="37"/>
      <c r="I304" s="3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>
      <c r="A305" s="1"/>
      <c r="B305" s="37"/>
      <c r="C305" s="37"/>
      <c r="D305" s="37"/>
      <c r="E305" s="37"/>
      <c r="F305" s="37"/>
      <c r="G305" s="37"/>
      <c r="H305" s="37"/>
      <c r="I305" s="3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>
      <c r="A306" s="1"/>
      <c r="B306" s="37"/>
      <c r="C306" s="37"/>
      <c r="D306" s="37"/>
      <c r="E306" s="37"/>
      <c r="F306" s="37"/>
      <c r="G306" s="37"/>
      <c r="H306" s="37"/>
      <c r="I306" s="3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>
      <c r="A307" s="1"/>
      <c r="B307" s="37"/>
      <c r="C307" s="37"/>
      <c r="D307" s="37"/>
      <c r="E307" s="37"/>
      <c r="F307" s="37"/>
      <c r="G307" s="37"/>
      <c r="H307" s="37"/>
      <c r="I307" s="3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>
      <c r="A308" s="1"/>
      <c r="B308" s="37"/>
      <c r="C308" s="37"/>
      <c r="D308" s="37"/>
      <c r="E308" s="37"/>
      <c r="F308" s="37"/>
      <c r="G308" s="37"/>
      <c r="H308" s="37"/>
      <c r="I308" s="3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>
      <c r="A309" s="1"/>
      <c r="B309" s="37"/>
      <c r="C309" s="37"/>
      <c r="D309" s="37"/>
      <c r="E309" s="37"/>
      <c r="F309" s="37"/>
      <c r="G309" s="37"/>
      <c r="H309" s="37"/>
      <c r="I309" s="3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>
      <c r="A310" s="1"/>
      <c r="B310" s="37"/>
      <c r="C310" s="37"/>
      <c r="D310" s="37"/>
      <c r="E310" s="37"/>
      <c r="F310" s="37"/>
      <c r="G310" s="37"/>
      <c r="H310" s="37"/>
      <c r="I310" s="3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>
      <c r="A311" s="1"/>
      <c r="B311" s="37"/>
      <c r="C311" s="37"/>
      <c r="D311" s="37"/>
      <c r="E311" s="37"/>
      <c r="F311" s="37"/>
      <c r="G311" s="37"/>
      <c r="H311" s="37"/>
      <c r="I311" s="3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>
      <c r="A312" s="1"/>
      <c r="B312" s="37"/>
      <c r="C312" s="37"/>
      <c r="D312" s="37"/>
      <c r="E312" s="37"/>
      <c r="F312" s="37"/>
      <c r="G312" s="37"/>
      <c r="H312" s="37"/>
      <c r="I312" s="3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>
      <c r="A313" s="1"/>
      <c r="B313" s="37"/>
      <c r="C313" s="37"/>
      <c r="D313" s="37"/>
      <c r="E313" s="37"/>
      <c r="F313" s="37"/>
      <c r="G313" s="37"/>
      <c r="H313" s="37"/>
      <c r="I313" s="3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>
      <c r="A314" s="1"/>
      <c r="B314" s="37"/>
      <c r="C314" s="37"/>
      <c r="D314" s="37"/>
      <c r="E314" s="37"/>
      <c r="F314" s="37"/>
      <c r="G314" s="37"/>
      <c r="H314" s="37"/>
      <c r="I314" s="3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>
      <c r="A315" s="1"/>
      <c r="B315" s="37"/>
      <c r="C315" s="37"/>
      <c r="D315" s="37"/>
      <c r="E315" s="37"/>
      <c r="F315" s="37"/>
      <c r="G315" s="37"/>
      <c r="H315" s="37"/>
      <c r="I315" s="3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>
      <c r="A316" s="1"/>
      <c r="B316" s="37"/>
      <c r="C316" s="37"/>
      <c r="D316" s="37"/>
      <c r="E316" s="37"/>
      <c r="F316" s="37"/>
      <c r="G316" s="37"/>
      <c r="H316" s="37"/>
      <c r="I316" s="3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>
      <c r="A317" s="1"/>
      <c r="B317" s="37"/>
      <c r="C317" s="37"/>
      <c r="D317" s="37"/>
      <c r="E317" s="37"/>
      <c r="F317" s="37"/>
      <c r="G317" s="37"/>
      <c r="H317" s="37"/>
      <c r="I317" s="3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>
      <c r="A318" s="1"/>
      <c r="B318" s="37"/>
      <c r="C318" s="37"/>
      <c r="D318" s="37"/>
      <c r="E318" s="37"/>
      <c r="F318" s="37"/>
      <c r="G318" s="37"/>
      <c r="H318" s="37"/>
      <c r="I318" s="3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>
      <c r="A319" s="1"/>
      <c r="B319" s="37"/>
      <c r="C319" s="37"/>
      <c r="D319" s="37"/>
      <c r="E319" s="37"/>
      <c r="F319" s="37"/>
      <c r="G319" s="37"/>
      <c r="H319" s="37"/>
      <c r="I319" s="3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>
      <c r="A320" s="1"/>
      <c r="B320" s="37"/>
      <c r="C320" s="37"/>
      <c r="D320" s="37"/>
      <c r="E320" s="37"/>
      <c r="F320" s="37"/>
      <c r="G320" s="37"/>
      <c r="H320" s="37"/>
      <c r="I320" s="3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>
      <c r="A321" s="1"/>
      <c r="B321" s="37"/>
      <c r="C321" s="37"/>
      <c r="D321" s="37"/>
      <c r="E321" s="37"/>
      <c r="F321" s="37"/>
      <c r="G321" s="37"/>
      <c r="H321" s="37"/>
      <c r="I321" s="3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>
      <c r="A322" s="1"/>
      <c r="B322" s="37"/>
      <c r="C322" s="37"/>
      <c r="D322" s="37"/>
      <c r="E322" s="37"/>
      <c r="F322" s="37"/>
      <c r="G322" s="37"/>
      <c r="H322" s="37"/>
      <c r="I322" s="3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>
      <c r="A323" s="1"/>
      <c r="B323" s="37"/>
      <c r="C323" s="37"/>
      <c r="D323" s="37"/>
      <c r="E323" s="37"/>
      <c r="F323" s="37"/>
      <c r="G323" s="37"/>
      <c r="H323" s="37"/>
      <c r="I323" s="3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>
      <c r="A324" s="1"/>
      <c r="B324" s="37"/>
      <c r="C324" s="37"/>
      <c r="D324" s="37"/>
      <c r="E324" s="37"/>
      <c r="F324" s="37"/>
      <c r="G324" s="37"/>
      <c r="H324" s="37"/>
      <c r="I324" s="3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>
      <c r="A325" s="1"/>
      <c r="B325" s="37"/>
      <c r="C325" s="37"/>
      <c r="D325" s="37"/>
      <c r="E325" s="37"/>
      <c r="F325" s="37"/>
      <c r="G325" s="37"/>
      <c r="H325" s="37"/>
      <c r="I325" s="3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>
      <c r="A326" s="1"/>
      <c r="B326" s="37"/>
      <c r="C326" s="37"/>
      <c r="D326" s="37"/>
      <c r="E326" s="37"/>
      <c r="F326" s="37"/>
      <c r="G326" s="37"/>
      <c r="H326" s="37"/>
      <c r="I326" s="3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>
      <c r="A327" s="1"/>
      <c r="B327" s="37"/>
      <c r="C327" s="37"/>
      <c r="D327" s="37"/>
      <c r="E327" s="37"/>
      <c r="F327" s="37"/>
      <c r="G327" s="37"/>
      <c r="H327" s="37"/>
      <c r="I327" s="3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>
      <c r="A328" s="1"/>
      <c r="B328" s="37"/>
      <c r="C328" s="37"/>
      <c r="D328" s="37"/>
      <c r="E328" s="37"/>
      <c r="F328" s="37"/>
      <c r="G328" s="37"/>
      <c r="H328" s="37"/>
      <c r="I328" s="3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>
      <c r="A329" s="1"/>
      <c r="B329" s="37"/>
      <c r="C329" s="37"/>
      <c r="D329" s="37"/>
      <c r="E329" s="37"/>
      <c r="F329" s="37"/>
      <c r="G329" s="37"/>
      <c r="H329" s="37"/>
      <c r="I329" s="3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>
      <c r="A330" s="1"/>
      <c r="B330" s="37"/>
      <c r="C330" s="37"/>
      <c r="D330" s="37"/>
      <c r="E330" s="37"/>
      <c r="F330" s="37"/>
      <c r="G330" s="37"/>
      <c r="H330" s="37"/>
      <c r="I330" s="3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>
      <c r="A331" s="1"/>
      <c r="B331" s="37"/>
      <c r="C331" s="37"/>
      <c r="D331" s="37"/>
      <c r="E331" s="37"/>
      <c r="F331" s="37"/>
      <c r="G331" s="37"/>
      <c r="H331" s="37"/>
      <c r="I331" s="3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>
      <c r="A332" s="1"/>
      <c r="B332" s="37"/>
      <c r="C332" s="37"/>
      <c r="D332" s="37"/>
      <c r="E332" s="37"/>
      <c r="F332" s="37"/>
      <c r="G332" s="37"/>
      <c r="H332" s="37"/>
      <c r="I332" s="3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>
      <c r="A333" s="1"/>
      <c r="B333" s="37"/>
      <c r="C333" s="37"/>
      <c r="D333" s="37"/>
      <c r="E333" s="37"/>
      <c r="F333" s="37"/>
      <c r="G333" s="37"/>
      <c r="H333" s="37"/>
      <c r="I333" s="3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>
      <c r="A334" s="1"/>
      <c r="B334" s="37"/>
      <c r="C334" s="37"/>
      <c r="D334" s="37"/>
      <c r="E334" s="37"/>
      <c r="F334" s="37"/>
      <c r="G334" s="37"/>
      <c r="H334" s="37"/>
      <c r="I334" s="3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>
      <c r="A335" s="1"/>
      <c r="B335" s="37"/>
      <c r="C335" s="37"/>
      <c r="D335" s="37"/>
      <c r="E335" s="37"/>
      <c r="F335" s="37"/>
      <c r="G335" s="37"/>
      <c r="H335" s="37"/>
      <c r="I335" s="3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>
      <c r="A336" s="1"/>
      <c r="B336" s="37"/>
      <c r="C336" s="37"/>
      <c r="D336" s="37"/>
      <c r="E336" s="37"/>
      <c r="F336" s="37"/>
      <c r="G336" s="37"/>
      <c r="H336" s="37"/>
      <c r="I336" s="3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>
      <c r="A337" s="1"/>
      <c r="B337" s="37"/>
      <c r="C337" s="37"/>
      <c r="D337" s="37"/>
      <c r="E337" s="37"/>
      <c r="F337" s="37"/>
      <c r="G337" s="37"/>
      <c r="H337" s="37"/>
      <c r="I337" s="3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>
      <c r="A338" s="1"/>
      <c r="B338" s="37"/>
      <c r="C338" s="37"/>
      <c r="D338" s="37"/>
      <c r="E338" s="37"/>
      <c r="F338" s="37"/>
      <c r="G338" s="37"/>
      <c r="H338" s="37"/>
      <c r="I338" s="3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>
      <c r="A339" s="1"/>
      <c r="B339" s="37"/>
      <c r="C339" s="37"/>
      <c r="D339" s="37"/>
      <c r="E339" s="37"/>
      <c r="F339" s="37"/>
      <c r="G339" s="37"/>
      <c r="H339" s="37"/>
      <c r="I339" s="3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>
      <c r="A340" s="1"/>
      <c r="B340" s="37"/>
      <c r="C340" s="37"/>
      <c r="D340" s="37"/>
      <c r="E340" s="37"/>
      <c r="F340" s="37"/>
      <c r="G340" s="37"/>
      <c r="H340" s="37"/>
      <c r="I340" s="3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>
      <c r="A341" s="1"/>
      <c r="B341" s="37"/>
      <c r="C341" s="37"/>
      <c r="D341" s="37"/>
      <c r="E341" s="37"/>
      <c r="F341" s="37"/>
      <c r="G341" s="37"/>
      <c r="H341" s="37"/>
      <c r="I341" s="3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>
      <c r="A342" s="1"/>
      <c r="B342" s="37"/>
      <c r="C342" s="37"/>
      <c r="D342" s="37"/>
      <c r="E342" s="37"/>
      <c r="F342" s="37"/>
      <c r="G342" s="37"/>
      <c r="H342" s="37"/>
      <c r="I342" s="3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>
      <c r="A343" s="1"/>
      <c r="B343" s="37"/>
      <c r="C343" s="37"/>
      <c r="D343" s="37"/>
      <c r="E343" s="37"/>
      <c r="F343" s="37"/>
      <c r="G343" s="37"/>
      <c r="H343" s="37"/>
      <c r="I343" s="3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>
      <c r="A344" s="1"/>
      <c r="B344" s="37"/>
      <c r="C344" s="37"/>
      <c r="D344" s="37"/>
      <c r="E344" s="37"/>
      <c r="F344" s="37"/>
      <c r="G344" s="37"/>
      <c r="H344" s="37"/>
      <c r="I344" s="3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>
      <c r="A345" s="1"/>
      <c r="B345" s="37"/>
      <c r="C345" s="37"/>
      <c r="D345" s="37"/>
      <c r="E345" s="37"/>
      <c r="F345" s="37"/>
      <c r="G345" s="37"/>
      <c r="H345" s="37"/>
      <c r="I345" s="3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>
      <c r="A346" s="1"/>
      <c r="B346" s="37"/>
      <c r="C346" s="37"/>
      <c r="D346" s="37"/>
      <c r="E346" s="37"/>
      <c r="F346" s="37"/>
      <c r="G346" s="37"/>
      <c r="H346" s="37"/>
      <c r="I346" s="3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>
      <c r="A347" s="1"/>
      <c r="B347" s="37"/>
      <c r="C347" s="37"/>
      <c r="D347" s="37"/>
      <c r="E347" s="37"/>
      <c r="F347" s="37"/>
      <c r="G347" s="37"/>
      <c r="H347" s="37"/>
      <c r="I347" s="3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>
      <c r="A348" s="1"/>
      <c r="B348" s="37"/>
      <c r="C348" s="37"/>
      <c r="D348" s="37"/>
      <c r="E348" s="37"/>
      <c r="F348" s="37"/>
      <c r="G348" s="37"/>
      <c r="H348" s="37"/>
      <c r="I348" s="3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>
      <c r="A349" s="1"/>
      <c r="B349" s="37"/>
      <c r="C349" s="37"/>
      <c r="D349" s="37"/>
      <c r="E349" s="37"/>
      <c r="F349" s="37"/>
      <c r="G349" s="37"/>
      <c r="H349" s="37"/>
      <c r="I349" s="3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>
      <c r="A350" s="1"/>
      <c r="B350" s="37"/>
      <c r="C350" s="37"/>
      <c r="D350" s="37"/>
      <c r="E350" s="37"/>
      <c r="F350" s="37"/>
      <c r="G350" s="37"/>
      <c r="H350" s="37"/>
      <c r="I350" s="3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>
      <c r="A351" s="1"/>
      <c r="B351" s="37"/>
      <c r="C351" s="37"/>
      <c r="D351" s="37"/>
      <c r="E351" s="37"/>
      <c r="F351" s="37"/>
      <c r="G351" s="37"/>
      <c r="H351" s="37"/>
      <c r="I351" s="3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>
      <c r="A352" s="1"/>
      <c r="B352" s="37"/>
      <c r="C352" s="37"/>
      <c r="D352" s="37"/>
      <c r="E352" s="37"/>
      <c r="F352" s="37"/>
      <c r="G352" s="37"/>
      <c r="H352" s="37"/>
      <c r="I352" s="3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>
      <c r="A353" s="1"/>
      <c r="B353" s="37"/>
      <c r="C353" s="37"/>
      <c r="D353" s="37"/>
      <c r="E353" s="37"/>
      <c r="F353" s="37"/>
      <c r="G353" s="37"/>
      <c r="H353" s="37"/>
      <c r="I353" s="3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>
      <c r="A354" s="1"/>
      <c r="B354" s="37"/>
      <c r="C354" s="37"/>
      <c r="D354" s="37"/>
      <c r="E354" s="37"/>
      <c r="F354" s="37"/>
      <c r="G354" s="37"/>
      <c r="H354" s="37"/>
      <c r="I354" s="3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>
      <c r="A355" s="1"/>
      <c r="B355" s="37"/>
      <c r="C355" s="37"/>
      <c r="D355" s="37"/>
      <c r="E355" s="37"/>
      <c r="F355" s="37"/>
      <c r="G355" s="37"/>
      <c r="H355" s="37"/>
      <c r="I355" s="3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>
      <c r="A356" s="1"/>
      <c r="B356" s="37"/>
      <c r="C356" s="37"/>
      <c r="D356" s="37"/>
      <c r="E356" s="37"/>
      <c r="F356" s="37"/>
      <c r="G356" s="37"/>
      <c r="H356" s="37"/>
      <c r="I356" s="3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>
      <c r="A357" s="1"/>
      <c r="B357" s="37"/>
      <c r="C357" s="37"/>
      <c r="D357" s="37"/>
      <c r="E357" s="37"/>
      <c r="F357" s="37"/>
      <c r="G357" s="37"/>
      <c r="H357" s="37"/>
      <c r="I357" s="3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>
      <c r="A358" s="1"/>
      <c r="B358" s="37"/>
      <c r="C358" s="37"/>
      <c r="D358" s="37"/>
      <c r="E358" s="37"/>
      <c r="F358" s="37"/>
      <c r="G358" s="37"/>
      <c r="H358" s="37"/>
      <c r="I358" s="3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>
      <c r="A359" s="1"/>
      <c r="B359" s="37"/>
      <c r="C359" s="37"/>
      <c r="D359" s="37"/>
      <c r="E359" s="37"/>
      <c r="F359" s="37"/>
      <c r="G359" s="37"/>
      <c r="H359" s="37"/>
      <c r="I359" s="3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>
      <c r="A360" s="1"/>
      <c r="B360" s="37"/>
      <c r="C360" s="37"/>
      <c r="D360" s="37"/>
      <c r="E360" s="37"/>
      <c r="F360" s="37"/>
      <c r="G360" s="37"/>
      <c r="H360" s="37"/>
      <c r="I360" s="3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>
      <c r="A361" s="1"/>
      <c r="B361" s="37"/>
      <c r="C361" s="37"/>
      <c r="D361" s="37"/>
      <c r="E361" s="37"/>
      <c r="F361" s="37"/>
      <c r="G361" s="37"/>
      <c r="H361" s="37"/>
      <c r="I361" s="3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>
      <c r="A362" s="1"/>
      <c r="B362" s="37"/>
      <c r="C362" s="37"/>
      <c r="D362" s="37"/>
      <c r="E362" s="37"/>
      <c r="F362" s="37"/>
      <c r="G362" s="37"/>
      <c r="H362" s="37"/>
      <c r="I362" s="3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>
      <c r="A363" s="1"/>
      <c r="B363" s="37"/>
      <c r="C363" s="37"/>
      <c r="D363" s="37"/>
      <c r="E363" s="37"/>
      <c r="F363" s="37"/>
      <c r="G363" s="37"/>
      <c r="H363" s="37"/>
      <c r="I363" s="3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>
      <c r="A364" s="1"/>
      <c r="B364" s="37"/>
      <c r="C364" s="37"/>
      <c r="D364" s="37"/>
      <c r="E364" s="37"/>
      <c r="F364" s="37"/>
      <c r="G364" s="37"/>
      <c r="H364" s="37"/>
      <c r="I364" s="3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>
      <c r="A365" s="1"/>
      <c r="B365" s="37"/>
      <c r="C365" s="37"/>
      <c r="D365" s="37"/>
      <c r="E365" s="37"/>
      <c r="F365" s="37"/>
      <c r="G365" s="37"/>
      <c r="H365" s="37"/>
      <c r="I365" s="3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>
      <c r="A366" s="1"/>
      <c r="B366" s="37"/>
      <c r="C366" s="37"/>
      <c r="D366" s="37"/>
      <c r="E366" s="37"/>
      <c r="F366" s="37"/>
      <c r="G366" s="37"/>
      <c r="H366" s="37"/>
      <c r="I366" s="3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>
      <c r="A367" s="1"/>
      <c r="B367" s="37"/>
      <c r="C367" s="37"/>
      <c r="D367" s="37"/>
      <c r="E367" s="37"/>
      <c r="F367" s="37"/>
      <c r="G367" s="37"/>
      <c r="H367" s="37"/>
      <c r="I367" s="3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>
      <c r="A368" s="1"/>
      <c r="B368" s="37"/>
      <c r="C368" s="37"/>
      <c r="D368" s="37"/>
      <c r="E368" s="37"/>
      <c r="F368" s="37"/>
      <c r="G368" s="37"/>
      <c r="H368" s="37"/>
      <c r="I368" s="3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>
      <c r="A369" s="1"/>
      <c r="B369" s="37"/>
      <c r="C369" s="37"/>
      <c r="D369" s="37"/>
      <c r="E369" s="37"/>
      <c r="F369" s="37"/>
      <c r="G369" s="37"/>
      <c r="H369" s="37"/>
      <c r="I369" s="3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>
      <c r="A370" s="1"/>
      <c r="B370" s="37"/>
      <c r="C370" s="37"/>
      <c r="D370" s="37"/>
      <c r="E370" s="37"/>
      <c r="F370" s="37"/>
      <c r="G370" s="37"/>
      <c r="H370" s="37"/>
      <c r="I370" s="3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>
      <c r="A371" s="1"/>
      <c r="B371" s="37"/>
      <c r="C371" s="37"/>
      <c r="D371" s="37"/>
      <c r="E371" s="37"/>
      <c r="F371" s="37"/>
      <c r="G371" s="37"/>
      <c r="H371" s="37"/>
      <c r="I371" s="3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>
      <c r="A372" s="1"/>
      <c r="B372" s="37"/>
      <c r="C372" s="37"/>
      <c r="D372" s="37"/>
      <c r="E372" s="37"/>
      <c r="F372" s="37"/>
      <c r="G372" s="37"/>
      <c r="H372" s="37"/>
      <c r="I372" s="3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>
      <c r="A373" s="1"/>
      <c r="B373" s="37"/>
      <c r="C373" s="37"/>
      <c r="D373" s="37"/>
      <c r="E373" s="37"/>
      <c r="F373" s="37"/>
      <c r="G373" s="37"/>
      <c r="H373" s="37"/>
      <c r="I373" s="3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>
      <c r="A374" s="1"/>
      <c r="B374" s="37"/>
      <c r="C374" s="37"/>
      <c r="D374" s="37"/>
      <c r="E374" s="37"/>
      <c r="F374" s="37"/>
      <c r="G374" s="37"/>
      <c r="H374" s="37"/>
      <c r="I374" s="3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>
      <c r="A375" s="1"/>
      <c r="B375" s="37"/>
      <c r="C375" s="37"/>
      <c r="D375" s="37"/>
      <c r="E375" s="37"/>
      <c r="F375" s="37"/>
      <c r="G375" s="37"/>
      <c r="H375" s="37"/>
      <c r="I375" s="3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>
      <c r="A376" s="1"/>
      <c r="B376" s="37"/>
      <c r="C376" s="37"/>
      <c r="D376" s="37"/>
      <c r="E376" s="37"/>
      <c r="F376" s="37"/>
      <c r="G376" s="37"/>
      <c r="H376" s="37"/>
      <c r="I376" s="3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>
      <c r="A377" s="1"/>
      <c r="B377" s="37"/>
      <c r="C377" s="37"/>
      <c r="D377" s="37"/>
      <c r="E377" s="37"/>
      <c r="F377" s="37"/>
      <c r="G377" s="37"/>
      <c r="H377" s="37"/>
      <c r="I377" s="3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>
      <c r="A378" s="1"/>
      <c r="B378" s="37"/>
      <c r="C378" s="37"/>
      <c r="D378" s="37"/>
      <c r="E378" s="37"/>
      <c r="F378" s="37"/>
      <c r="G378" s="37"/>
      <c r="H378" s="37"/>
      <c r="I378" s="3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>
      <c r="A379" s="1"/>
      <c r="B379" s="37"/>
      <c r="C379" s="37"/>
      <c r="D379" s="37"/>
      <c r="E379" s="37"/>
      <c r="F379" s="37"/>
      <c r="G379" s="37"/>
      <c r="H379" s="37"/>
      <c r="I379" s="3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>
      <c r="A380" s="1"/>
      <c r="B380" s="37"/>
      <c r="C380" s="37"/>
      <c r="D380" s="37"/>
      <c r="E380" s="37"/>
      <c r="F380" s="37"/>
      <c r="G380" s="37"/>
      <c r="H380" s="37"/>
      <c r="I380" s="3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>
      <c r="A381" s="1"/>
      <c r="B381" s="37"/>
      <c r="C381" s="37"/>
      <c r="D381" s="37"/>
      <c r="E381" s="37"/>
      <c r="F381" s="37"/>
      <c r="G381" s="37"/>
      <c r="H381" s="37"/>
      <c r="I381" s="3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>
      <c r="A382" s="1"/>
      <c r="B382" s="37"/>
      <c r="C382" s="37"/>
      <c r="D382" s="37"/>
      <c r="E382" s="37"/>
      <c r="F382" s="37"/>
      <c r="G382" s="37"/>
      <c r="H382" s="37"/>
      <c r="I382" s="3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>
      <c r="A383" s="1"/>
      <c r="B383" s="37"/>
      <c r="C383" s="37"/>
      <c r="D383" s="37"/>
      <c r="E383" s="37"/>
      <c r="F383" s="37"/>
      <c r="G383" s="37"/>
      <c r="H383" s="37"/>
      <c r="I383" s="3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>
      <c r="A384" s="1"/>
      <c r="B384" s="37"/>
      <c r="C384" s="37"/>
      <c r="D384" s="37"/>
      <c r="E384" s="37"/>
      <c r="F384" s="37"/>
      <c r="G384" s="37"/>
      <c r="H384" s="37"/>
      <c r="I384" s="3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>
      <c r="A385" s="1"/>
      <c r="B385" s="37"/>
      <c r="C385" s="37"/>
      <c r="D385" s="37"/>
      <c r="E385" s="37"/>
      <c r="F385" s="37"/>
      <c r="G385" s="37"/>
      <c r="H385" s="37"/>
      <c r="I385" s="3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>
      <c r="A386" s="1"/>
      <c r="B386" s="37"/>
      <c r="C386" s="37"/>
      <c r="D386" s="37"/>
      <c r="E386" s="37"/>
      <c r="F386" s="37"/>
      <c r="G386" s="37"/>
      <c r="H386" s="37"/>
      <c r="I386" s="3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>
      <c r="A387" s="1"/>
      <c r="B387" s="37"/>
      <c r="C387" s="37"/>
      <c r="D387" s="37"/>
      <c r="E387" s="37"/>
      <c r="F387" s="37"/>
      <c r="G387" s="37"/>
      <c r="H387" s="37"/>
      <c r="I387" s="3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>
      <c r="A388" s="1"/>
      <c r="B388" s="37"/>
      <c r="C388" s="37"/>
      <c r="D388" s="37"/>
      <c r="E388" s="37"/>
      <c r="F388" s="37"/>
      <c r="G388" s="37"/>
      <c r="H388" s="37"/>
      <c r="I388" s="3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>
      <c r="A389" s="1"/>
      <c r="B389" s="37"/>
      <c r="C389" s="37"/>
      <c r="D389" s="37"/>
      <c r="E389" s="37"/>
      <c r="F389" s="37"/>
      <c r="G389" s="37"/>
      <c r="H389" s="37"/>
      <c r="I389" s="3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>
      <c r="A390" s="1"/>
      <c r="B390" s="37"/>
      <c r="C390" s="37"/>
      <c r="D390" s="37"/>
      <c r="E390" s="37"/>
      <c r="F390" s="37"/>
      <c r="G390" s="37"/>
      <c r="H390" s="37"/>
      <c r="I390" s="3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>
      <c r="A391" s="1"/>
      <c r="B391" s="37"/>
      <c r="C391" s="37"/>
      <c r="D391" s="37"/>
      <c r="E391" s="37"/>
      <c r="F391" s="37"/>
      <c r="G391" s="37"/>
      <c r="H391" s="37"/>
      <c r="I391" s="3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>
      <c r="A392" s="1"/>
      <c r="B392" s="37"/>
      <c r="C392" s="37"/>
      <c r="D392" s="37"/>
      <c r="E392" s="37"/>
      <c r="F392" s="37"/>
      <c r="G392" s="37"/>
      <c r="H392" s="37"/>
      <c r="I392" s="3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>
      <c r="A393" s="1"/>
      <c r="B393" s="37"/>
      <c r="C393" s="37"/>
      <c r="D393" s="37"/>
      <c r="E393" s="37"/>
      <c r="F393" s="37"/>
      <c r="G393" s="37"/>
      <c r="H393" s="37"/>
      <c r="I393" s="3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>
      <c r="A394" s="1"/>
      <c r="B394" s="37"/>
      <c r="C394" s="37"/>
      <c r="D394" s="37"/>
      <c r="E394" s="37"/>
      <c r="F394" s="37"/>
      <c r="G394" s="37"/>
      <c r="H394" s="37"/>
      <c r="I394" s="3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>
      <c r="A395" s="1"/>
      <c r="B395" s="37"/>
      <c r="C395" s="37"/>
      <c r="D395" s="37"/>
      <c r="E395" s="37"/>
      <c r="F395" s="37"/>
      <c r="G395" s="37"/>
      <c r="H395" s="37"/>
      <c r="I395" s="3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>
      <c r="A396" s="1"/>
      <c r="B396" s="37"/>
      <c r="C396" s="37"/>
      <c r="D396" s="37"/>
      <c r="E396" s="37"/>
      <c r="F396" s="37"/>
      <c r="G396" s="37"/>
      <c r="H396" s="37"/>
      <c r="I396" s="3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>
      <c r="A397" s="1"/>
      <c r="B397" s="37"/>
      <c r="C397" s="37"/>
      <c r="D397" s="37"/>
      <c r="E397" s="37"/>
      <c r="F397" s="37"/>
      <c r="G397" s="37"/>
      <c r="H397" s="37"/>
      <c r="I397" s="3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>
      <c r="A398" s="1"/>
      <c r="B398" s="37"/>
      <c r="C398" s="37"/>
      <c r="D398" s="37"/>
      <c r="E398" s="37"/>
      <c r="F398" s="37"/>
      <c r="G398" s="37"/>
      <c r="H398" s="37"/>
      <c r="I398" s="3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>
      <c r="A399" s="1"/>
      <c r="B399" s="37"/>
      <c r="C399" s="37"/>
      <c r="D399" s="37"/>
      <c r="E399" s="37"/>
      <c r="F399" s="37"/>
      <c r="G399" s="37"/>
      <c r="H399" s="37"/>
      <c r="I399" s="3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>
      <c r="A400" s="1"/>
      <c r="B400" s="37"/>
      <c r="C400" s="37"/>
      <c r="D400" s="37"/>
      <c r="E400" s="37"/>
      <c r="F400" s="37"/>
      <c r="G400" s="37"/>
      <c r="H400" s="37"/>
      <c r="I400" s="3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>
      <c r="A401" s="1"/>
      <c r="B401" s="37"/>
      <c r="C401" s="37"/>
      <c r="D401" s="37"/>
      <c r="E401" s="37"/>
      <c r="F401" s="37"/>
      <c r="G401" s="37"/>
      <c r="H401" s="37"/>
      <c r="I401" s="3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>
      <c r="A402" s="1"/>
      <c r="B402" s="37"/>
      <c r="C402" s="37"/>
      <c r="D402" s="37"/>
      <c r="E402" s="37"/>
      <c r="F402" s="37"/>
      <c r="G402" s="37"/>
      <c r="H402" s="37"/>
      <c r="I402" s="3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>
      <c r="A403" s="1"/>
      <c r="B403" s="37"/>
      <c r="C403" s="37"/>
      <c r="D403" s="37"/>
      <c r="E403" s="37"/>
      <c r="F403" s="37"/>
      <c r="G403" s="37"/>
      <c r="H403" s="37"/>
      <c r="I403" s="3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>
      <c r="A404" s="1"/>
      <c r="B404" s="37"/>
      <c r="C404" s="37"/>
      <c r="D404" s="37"/>
      <c r="E404" s="37"/>
      <c r="F404" s="37"/>
      <c r="G404" s="37"/>
      <c r="H404" s="37"/>
      <c r="I404" s="3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>
      <c r="A405" s="1"/>
      <c r="B405" s="37"/>
      <c r="C405" s="37"/>
      <c r="D405" s="37"/>
      <c r="E405" s="37"/>
      <c r="F405" s="37"/>
      <c r="G405" s="37"/>
      <c r="H405" s="37"/>
      <c r="I405" s="3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>
      <c r="A406" s="1"/>
      <c r="B406" s="37"/>
      <c r="C406" s="37"/>
      <c r="D406" s="37"/>
      <c r="E406" s="37"/>
      <c r="F406" s="37"/>
      <c r="G406" s="37"/>
      <c r="H406" s="37"/>
      <c r="I406" s="3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>
      <c r="A407" s="1"/>
      <c r="B407" s="37"/>
      <c r="C407" s="37"/>
      <c r="D407" s="37"/>
      <c r="E407" s="37"/>
      <c r="F407" s="37"/>
      <c r="G407" s="37"/>
      <c r="H407" s="37"/>
      <c r="I407" s="3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>
      <c r="A408" s="1"/>
      <c r="B408" s="37"/>
      <c r="C408" s="37"/>
      <c r="D408" s="37"/>
      <c r="E408" s="37"/>
      <c r="F408" s="37"/>
      <c r="G408" s="37"/>
      <c r="H408" s="37"/>
      <c r="I408" s="3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>
      <c r="A409" s="1"/>
      <c r="B409" s="37"/>
      <c r="C409" s="37"/>
      <c r="D409" s="37"/>
      <c r="E409" s="37"/>
      <c r="F409" s="37"/>
      <c r="G409" s="37"/>
      <c r="H409" s="37"/>
      <c r="I409" s="3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>
      <c r="A410" s="1"/>
      <c r="B410" s="37"/>
      <c r="C410" s="37"/>
      <c r="D410" s="37"/>
      <c r="E410" s="37"/>
      <c r="F410" s="37"/>
      <c r="G410" s="37"/>
      <c r="H410" s="37"/>
      <c r="I410" s="3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>
      <c r="A411" s="1"/>
      <c r="B411" s="37"/>
      <c r="C411" s="37"/>
      <c r="D411" s="37"/>
      <c r="E411" s="37"/>
      <c r="F411" s="37"/>
      <c r="G411" s="37"/>
      <c r="H411" s="37"/>
      <c r="I411" s="3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>
      <c r="A412" s="1"/>
      <c r="B412" s="37"/>
      <c r="C412" s="37"/>
      <c r="D412" s="37"/>
      <c r="E412" s="37"/>
      <c r="F412" s="37"/>
      <c r="G412" s="37"/>
      <c r="H412" s="37"/>
      <c r="I412" s="3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>
      <c r="A413" s="1"/>
      <c r="B413" s="37"/>
      <c r="C413" s="37"/>
      <c r="D413" s="37"/>
      <c r="E413" s="37"/>
      <c r="F413" s="37"/>
      <c r="G413" s="37"/>
      <c r="H413" s="37"/>
      <c r="I413" s="3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>
      <c r="A414" s="1"/>
      <c r="B414" s="37"/>
      <c r="C414" s="37"/>
      <c r="D414" s="37"/>
      <c r="E414" s="37"/>
      <c r="F414" s="37"/>
      <c r="G414" s="37"/>
      <c r="H414" s="37"/>
      <c r="I414" s="3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>
      <c r="A415" s="1"/>
      <c r="B415" s="37"/>
      <c r="C415" s="37"/>
      <c r="D415" s="37"/>
      <c r="E415" s="37"/>
      <c r="F415" s="37"/>
      <c r="G415" s="37"/>
      <c r="H415" s="37"/>
      <c r="I415" s="3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>
      <c r="A416" s="1"/>
      <c r="B416" s="37"/>
      <c r="C416" s="37"/>
      <c r="D416" s="37"/>
      <c r="E416" s="37"/>
      <c r="F416" s="37"/>
      <c r="G416" s="37"/>
      <c r="H416" s="37"/>
      <c r="I416" s="3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>
      <c r="A417" s="1"/>
      <c r="B417" s="37"/>
      <c r="C417" s="37"/>
      <c r="D417" s="37"/>
      <c r="E417" s="37"/>
      <c r="F417" s="37"/>
      <c r="G417" s="37"/>
      <c r="H417" s="37"/>
      <c r="I417" s="3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>
      <c r="A418" s="1"/>
      <c r="B418" s="37"/>
      <c r="C418" s="37"/>
      <c r="D418" s="37"/>
      <c r="E418" s="37"/>
      <c r="F418" s="37"/>
      <c r="G418" s="37"/>
      <c r="H418" s="37"/>
      <c r="I418" s="3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>
      <c r="A419" s="1"/>
      <c r="B419" s="37"/>
      <c r="C419" s="37"/>
      <c r="D419" s="37"/>
      <c r="E419" s="37"/>
      <c r="F419" s="37"/>
      <c r="G419" s="37"/>
      <c r="H419" s="37"/>
      <c r="I419" s="3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>
      <c r="A420" s="1"/>
      <c r="B420" s="37"/>
      <c r="C420" s="37"/>
      <c r="D420" s="37"/>
      <c r="E420" s="37"/>
      <c r="F420" s="37"/>
      <c r="G420" s="37"/>
      <c r="H420" s="37"/>
      <c r="I420" s="3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>
      <c r="A421" s="1"/>
      <c r="B421" s="37"/>
      <c r="C421" s="37"/>
      <c r="D421" s="37"/>
      <c r="E421" s="37"/>
      <c r="F421" s="37"/>
      <c r="G421" s="37"/>
      <c r="H421" s="37"/>
      <c r="I421" s="3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>
      <c r="A422" s="1"/>
      <c r="B422" s="37"/>
      <c r="C422" s="37"/>
      <c r="D422" s="37"/>
      <c r="E422" s="37"/>
      <c r="F422" s="37"/>
      <c r="G422" s="37"/>
      <c r="H422" s="37"/>
      <c r="I422" s="3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>
      <c r="A423" s="1"/>
      <c r="B423" s="37"/>
      <c r="C423" s="37"/>
      <c r="D423" s="37"/>
      <c r="E423" s="37"/>
      <c r="F423" s="37"/>
      <c r="G423" s="37"/>
      <c r="H423" s="37"/>
      <c r="I423" s="3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>
      <c r="A424" s="1"/>
      <c r="B424" s="37"/>
      <c r="C424" s="37"/>
      <c r="D424" s="37"/>
      <c r="E424" s="37"/>
      <c r="F424" s="37"/>
      <c r="G424" s="37"/>
      <c r="H424" s="37"/>
      <c r="I424" s="3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>
      <c r="A425" s="1"/>
      <c r="B425" s="37"/>
      <c r="C425" s="37"/>
      <c r="D425" s="37"/>
      <c r="E425" s="37"/>
      <c r="F425" s="37"/>
      <c r="G425" s="37"/>
      <c r="H425" s="37"/>
      <c r="I425" s="3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>
      <c r="A426" s="1"/>
      <c r="B426" s="37"/>
      <c r="C426" s="37"/>
      <c r="D426" s="37"/>
      <c r="E426" s="37"/>
      <c r="F426" s="37"/>
      <c r="G426" s="37"/>
      <c r="H426" s="37"/>
      <c r="I426" s="3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>
      <c r="A427" s="1"/>
      <c r="B427" s="37"/>
      <c r="C427" s="37"/>
      <c r="D427" s="37"/>
      <c r="E427" s="37"/>
      <c r="F427" s="37"/>
      <c r="G427" s="37"/>
      <c r="H427" s="37"/>
      <c r="I427" s="3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>
      <c r="A428" s="1"/>
      <c r="B428" s="37"/>
      <c r="C428" s="37"/>
      <c r="D428" s="37"/>
      <c r="E428" s="37"/>
      <c r="F428" s="37"/>
      <c r="G428" s="37"/>
      <c r="H428" s="37"/>
      <c r="I428" s="3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>
      <c r="A429" s="1"/>
      <c r="B429" s="37"/>
      <c r="C429" s="37"/>
      <c r="D429" s="37"/>
      <c r="E429" s="37"/>
      <c r="F429" s="37"/>
      <c r="G429" s="37"/>
      <c r="H429" s="37"/>
      <c r="I429" s="3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>
      <c r="A430" s="1"/>
      <c r="B430" s="37"/>
      <c r="C430" s="37"/>
      <c r="D430" s="37"/>
      <c r="E430" s="37"/>
      <c r="F430" s="37"/>
      <c r="G430" s="37"/>
      <c r="H430" s="37"/>
      <c r="I430" s="3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>
      <c r="A431" s="1"/>
      <c r="B431" s="37"/>
      <c r="C431" s="37"/>
      <c r="D431" s="37"/>
      <c r="E431" s="37"/>
      <c r="F431" s="37"/>
      <c r="G431" s="37"/>
      <c r="H431" s="37"/>
      <c r="I431" s="3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>
      <c r="A432" s="1"/>
      <c r="B432" s="37"/>
      <c r="C432" s="37"/>
      <c r="D432" s="37"/>
      <c r="E432" s="37"/>
      <c r="F432" s="37"/>
      <c r="G432" s="37"/>
      <c r="H432" s="37"/>
      <c r="I432" s="3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>
      <c r="A433" s="1"/>
      <c r="B433" s="37"/>
      <c r="C433" s="37"/>
      <c r="D433" s="37"/>
      <c r="E433" s="37"/>
      <c r="F433" s="37"/>
      <c r="G433" s="37"/>
      <c r="H433" s="37"/>
      <c r="I433" s="3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>
      <c r="A434" s="1"/>
      <c r="B434" s="37"/>
      <c r="C434" s="37"/>
      <c r="D434" s="37"/>
      <c r="E434" s="37"/>
      <c r="F434" s="37"/>
      <c r="G434" s="37"/>
      <c r="H434" s="37"/>
      <c r="I434" s="3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>
      <c r="A435" s="1"/>
      <c r="B435" s="37"/>
      <c r="C435" s="37"/>
      <c r="D435" s="37"/>
      <c r="E435" s="37"/>
      <c r="F435" s="37"/>
      <c r="G435" s="37"/>
      <c r="H435" s="37"/>
      <c r="I435" s="3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>
      <c r="A436" s="1"/>
      <c r="B436" s="37"/>
      <c r="C436" s="37"/>
      <c r="D436" s="37"/>
      <c r="E436" s="37"/>
      <c r="F436" s="37"/>
      <c r="G436" s="37"/>
      <c r="H436" s="37"/>
      <c r="I436" s="3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>
      <c r="A437" s="1"/>
      <c r="B437" s="37"/>
      <c r="C437" s="37"/>
      <c r="D437" s="37"/>
      <c r="E437" s="37"/>
      <c r="F437" s="37"/>
      <c r="G437" s="37"/>
      <c r="H437" s="37"/>
      <c r="I437" s="3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>
      <c r="A438" s="1"/>
      <c r="B438" s="37"/>
      <c r="C438" s="37"/>
      <c r="D438" s="37"/>
      <c r="E438" s="37"/>
      <c r="F438" s="37"/>
      <c r="G438" s="37"/>
      <c r="H438" s="37"/>
      <c r="I438" s="3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>
      <c r="A439" s="1"/>
      <c r="B439" s="37"/>
      <c r="C439" s="37"/>
      <c r="D439" s="37"/>
      <c r="E439" s="37"/>
      <c r="F439" s="37"/>
      <c r="G439" s="37"/>
      <c r="H439" s="37"/>
      <c r="I439" s="3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>
      <c r="A440" s="1"/>
      <c r="B440" s="37"/>
      <c r="C440" s="37"/>
      <c r="D440" s="37"/>
      <c r="E440" s="37"/>
      <c r="F440" s="37"/>
      <c r="G440" s="37"/>
      <c r="H440" s="37"/>
      <c r="I440" s="3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>
      <c r="A441" s="1"/>
      <c r="B441" s="37"/>
      <c r="C441" s="37"/>
      <c r="D441" s="37"/>
      <c r="E441" s="37"/>
      <c r="F441" s="37"/>
      <c r="G441" s="37"/>
      <c r="H441" s="37"/>
      <c r="I441" s="3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>
      <c r="A442" s="1"/>
      <c r="B442" s="37"/>
      <c r="C442" s="37"/>
      <c r="D442" s="37"/>
      <c r="E442" s="37"/>
      <c r="F442" s="37"/>
      <c r="G442" s="37"/>
      <c r="H442" s="37"/>
      <c r="I442" s="3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>
      <c r="A443" s="1"/>
      <c r="B443" s="37"/>
      <c r="C443" s="37"/>
      <c r="D443" s="37"/>
      <c r="E443" s="37"/>
      <c r="F443" s="37"/>
      <c r="G443" s="37"/>
      <c r="H443" s="37"/>
      <c r="I443" s="3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>
      <c r="A444" s="1"/>
      <c r="B444" s="37"/>
      <c r="C444" s="37"/>
      <c r="D444" s="37"/>
      <c r="E444" s="37"/>
      <c r="F444" s="37"/>
      <c r="G444" s="37"/>
      <c r="H444" s="37"/>
      <c r="I444" s="3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>
      <c r="A445" s="1"/>
      <c r="B445" s="37"/>
      <c r="C445" s="37"/>
      <c r="D445" s="37"/>
      <c r="E445" s="37"/>
      <c r="F445" s="37"/>
      <c r="G445" s="37"/>
      <c r="H445" s="37"/>
      <c r="I445" s="3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>
      <c r="A446" s="1"/>
      <c r="B446" s="37"/>
      <c r="C446" s="37"/>
      <c r="D446" s="37"/>
      <c r="E446" s="37"/>
      <c r="F446" s="37"/>
      <c r="G446" s="37"/>
      <c r="H446" s="37"/>
      <c r="I446" s="3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>
      <c r="A447" s="1"/>
      <c r="B447" s="37"/>
      <c r="C447" s="37"/>
      <c r="D447" s="37"/>
      <c r="E447" s="37"/>
      <c r="F447" s="37"/>
      <c r="G447" s="37"/>
      <c r="H447" s="37"/>
      <c r="I447" s="3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>
      <c r="A448" s="1"/>
      <c r="B448" s="37"/>
      <c r="C448" s="37"/>
      <c r="D448" s="37"/>
      <c r="E448" s="37"/>
      <c r="F448" s="37"/>
      <c r="G448" s="37"/>
      <c r="H448" s="37"/>
      <c r="I448" s="3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>
      <c r="A449" s="1"/>
      <c r="B449" s="37"/>
      <c r="C449" s="37"/>
      <c r="D449" s="37"/>
      <c r="E449" s="37"/>
      <c r="F449" s="37"/>
      <c r="G449" s="37"/>
      <c r="H449" s="37"/>
      <c r="I449" s="3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>
      <c r="A450" s="1"/>
      <c r="B450" s="37"/>
      <c r="C450" s="37"/>
      <c r="D450" s="37"/>
      <c r="E450" s="37"/>
      <c r="F450" s="37"/>
      <c r="G450" s="37"/>
      <c r="H450" s="37"/>
      <c r="I450" s="3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>
      <c r="A451" s="1"/>
      <c r="B451" s="37"/>
      <c r="C451" s="37"/>
      <c r="D451" s="37"/>
      <c r="E451" s="37"/>
      <c r="F451" s="37"/>
      <c r="G451" s="37"/>
      <c r="H451" s="37"/>
      <c r="I451" s="3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>
      <c r="A452" s="1"/>
      <c r="B452" s="37"/>
      <c r="C452" s="37"/>
      <c r="D452" s="37"/>
      <c r="E452" s="37"/>
      <c r="F452" s="37"/>
      <c r="G452" s="37"/>
      <c r="H452" s="37"/>
      <c r="I452" s="3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>
      <c r="A453" s="1"/>
      <c r="B453" s="37"/>
      <c r="C453" s="37"/>
      <c r="D453" s="37"/>
      <c r="E453" s="37"/>
      <c r="F453" s="37"/>
      <c r="G453" s="37"/>
      <c r="H453" s="37"/>
      <c r="I453" s="3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>
      <c r="A454" s="1"/>
      <c r="B454" s="37"/>
      <c r="C454" s="37"/>
      <c r="D454" s="37"/>
      <c r="E454" s="37"/>
      <c r="F454" s="37"/>
      <c r="G454" s="37"/>
      <c r="H454" s="37"/>
      <c r="I454" s="3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>
      <c r="A455" s="1"/>
      <c r="B455" s="37"/>
      <c r="C455" s="37"/>
      <c r="D455" s="37"/>
      <c r="E455" s="37"/>
      <c r="F455" s="37"/>
      <c r="G455" s="37"/>
      <c r="H455" s="37"/>
      <c r="I455" s="3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>
      <c r="A456" s="1"/>
      <c r="B456" s="37"/>
      <c r="C456" s="37"/>
      <c r="D456" s="37"/>
      <c r="E456" s="37"/>
      <c r="F456" s="37"/>
      <c r="G456" s="37"/>
      <c r="H456" s="37"/>
      <c r="I456" s="3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>
      <c r="A457" s="1"/>
      <c r="B457" s="37"/>
      <c r="C457" s="37"/>
      <c r="D457" s="37"/>
      <c r="E457" s="37"/>
      <c r="F457" s="37"/>
      <c r="G457" s="37"/>
      <c r="H457" s="37"/>
      <c r="I457" s="3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>
      <c r="A458" s="1"/>
      <c r="B458" s="37"/>
      <c r="C458" s="37"/>
      <c r="D458" s="37"/>
      <c r="E458" s="37"/>
      <c r="F458" s="37"/>
      <c r="G458" s="37"/>
      <c r="H458" s="37"/>
      <c r="I458" s="3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>
      <c r="A459" s="1"/>
      <c r="B459" s="37"/>
      <c r="C459" s="37"/>
      <c r="D459" s="37"/>
      <c r="E459" s="37"/>
      <c r="F459" s="37"/>
      <c r="G459" s="37"/>
      <c r="H459" s="37"/>
      <c r="I459" s="3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>
      <c r="A460" s="1"/>
      <c r="B460" s="37"/>
      <c r="C460" s="37"/>
      <c r="D460" s="37"/>
      <c r="E460" s="37"/>
      <c r="F460" s="37"/>
      <c r="G460" s="37"/>
      <c r="H460" s="37"/>
      <c r="I460" s="3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>
      <c r="A461" s="1"/>
      <c r="B461" s="37"/>
      <c r="C461" s="37"/>
      <c r="D461" s="37"/>
      <c r="E461" s="37"/>
      <c r="F461" s="37"/>
      <c r="G461" s="37"/>
      <c r="H461" s="37"/>
      <c r="I461" s="3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>
      <c r="A462" s="1"/>
      <c r="B462" s="37"/>
      <c r="C462" s="37"/>
      <c r="D462" s="37"/>
      <c r="E462" s="37"/>
      <c r="F462" s="37"/>
      <c r="G462" s="37"/>
      <c r="H462" s="37"/>
      <c r="I462" s="3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>
      <c r="A463" s="1"/>
      <c r="B463" s="37"/>
      <c r="C463" s="37"/>
      <c r="D463" s="37"/>
      <c r="E463" s="37"/>
      <c r="F463" s="37"/>
      <c r="G463" s="37"/>
      <c r="H463" s="37"/>
      <c r="I463" s="3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>
      <c r="A464" s="1"/>
      <c r="B464" s="37"/>
      <c r="C464" s="37"/>
      <c r="D464" s="37"/>
      <c r="E464" s="37"/>
      <c r="F464" s="37"/>
      <c r="G464" s="37"/>
      <c r="H464" s="37"/>
      <c r="I464" s="3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>
      <c r="A465" s="1"/>
      <c r="B465" s="37"/>
      <c r="C465" s="37"/>
      <c r="D465" s="37"/>
      <c r="E465" s="37"/>
      <c r="F465" s="37"/>
      <c r="G465" s="37"/>
      <c r="H465" s="37"/>
      <c r="I465" s="3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>
      <c r="A466" s="1"/>
      <c r="B466" s="37"/>
      <c r="C466" s="37"/>
      <c r="D466" s="37"/>
      <c r="E466" s="37"/>
      <c r="F466" s="37"/>
      <c r="G466" s="37"/>
      <c r="H466" s="37"/>
      <c r="I466" s="3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>
      <c r="A467" s="1"/>
      <c r="B467" s="37"/>
      <c r="C467" s="37"/>
      <c r="D467" s="37"/>
      <c r="E467" s="37"/>
      <c r="F467" s="37"/>
      <c r="G467" s="37"/>
      <c r="H467" s="37"/>
      <c r="I467" s="3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>
      <c r="A468" s="1"/>
      <c r="B468" s="37"/>
      <c r="C468" s="37"/>
      <c r="D468" s="37"/>
      <c r="E468" s="37"/>
      <c r="F468" s="37"/>
      <c r="G468" s="37"/>
      <c r="H468" s="37"/>
      <c r="I468" s="3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>
      <c r="A469" s="1"/>
      <c r="B469" s="37"/>
      <c r="C469" s="37"/>
      <c r="D469" s="37"/>
      <c r="E469" s="37"/>
      <c r="F469" s="37"/>
      <c r="G469" s="37"/>
      <c r="H469" s="37"/>
      <c r="I469" s="3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>
      <c r="A470" s="1"/>
      <c r="B470" s="37"/>
      <c r="C470" s="37"/>
      <c r="D470" s="37"/>
      <c r="E470" s="37"/>
      <c r="F470" s="37"/>
      <c r="G470" s="37"/>
      <c r="H470" s="37"/>
      <c r="I470" s="3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>
      <c r="A471" s="1"/>
      <c r="B471" s="37"/>
      <c r="C471" s="37"/>
      <c r="D471" s="37"/>
      <c r="E471" s="37"/>
      <c r="F471" s="37"/>
      <c r="G471" s="37"/>
      <c r="H471" s="37"/>
      <c r="I471" s="3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>
      <c r="A472" s="1"/>
      <c r="B472" s="37"/>
      <c r="C472" s="37"/>
      <c r="D472" s="37"/>
      <c r="E472" s="37"/>
      <c r="F472" s="37"/>
      <c r="G472" s="37"/>
      <c r="H472" s="37"/>
      <c r="I472" s="3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>
      <c r="A473" s="1"/>
      <c r="B473" s="37"/>
      <c r="C473" s="37"/>
      <c r="D473" s="37"/>
      <c r="E473" s="37"/>
      <c r="F473" s="37"/>
      <c r="G473" s="37"/>
      <c r="H473" s="37"/>
      <c r="I473" s="3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>
      <c r="A474" s="1"/>
      <c r="B474" s="37"/>
      <c r="C474" s="37"/>
      <c r="D474" s="37"/>
      <c r="E474" s="37"/>
      <c r="F474" s="37"/>
      <c r="G474" s="37"/>
      <c r="H474" s="37"/>
      <c r="I474" s="3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>
      <c r="A475" s="1"/>
      <c r="B475" s="37"/>
      <c r="C475" s="37"/>
      <c r="D475" s="37"/>
      <c r="E475" s="37"/>
      <c r="F475" s="37"/>
      <c r="G475" s="37"/>
      <c r="H475" s="37"/>
      <c r="I475" s="3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>
      <c r="A476" s="1"/>
      <c r="B476" s="37"/>
      <c r="C476" s="37"/>
      <c r="D476" s="37"/>
      <c r="E476" s="37"/>
      <c r="F476" s="37"/>
      <c r="G476" s="37"/>
      <c r="H476" s="37"/>
      <c r="I476" s="3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>
      <c r="A477" s="1"/>
      <c r="B477" s="37"/>
      <c r="C477" s="37"/>
      <c r="D477" s="37"/>
      <c r="E477" s="37"/>
      <c r="F477" s="37"/>
      <c r="G477" s="37"/>
      <c r="H477" s="37"/>
      <c r="I477" s="3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>
      <c r="A478" s="1"/>
      <c r="B478" s="37"/>
      <c r="C478" s="37"/>
      <c r="D478" s="37"/>
      <c r="E478" s="37"/>
      <c r="F478" s="37"/>
      <c r="G478" s="37"/>
      <c r="H478" s="37"/>
      <c r="I478" s="3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>
      <c r="A479" s="1"/>
      <c r="B479" s="37"/>
      <c r="C479" s="37"/>
      <c r="D479" s="37"/>
      <c r="E479" s="37"/>
      <c r="F479" s="37"/>
      <c r="G479" s="37"/>
      <c r="H479" s="37"/>
      <c r="I479" s="3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>
      <c r="A480" s="1"/>
      <c r="B480" s="37"/>
      <c r="C480" s="37"/>
      <c r="D480" s="37"/>
      <c r="E480" s="37"/>
      <c r="F480" s="37"/>
      <c r="G480" s="37"/>
      <c r="H480" s="37"/>
      <c r="I480" s="3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>
      <c r="A481" s="1"/>
      <c r="B481" s="37"/>
      <c r="C481" s="37"/>
      <c r="D481" s="37"/>
      <c r="E481" s="37"/>
      <c r="F481" s="37"/>
      <c r="G481" s="37"/>
      <c r="H481" s="37"/>
      <c r="I481" s="3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>
      <c r="A482" s="1"/>
      <c r="B482" s="37"/>
      <c r="C482" s="37"/>
      <c r="D482" s="37"/>
      <c r="E482" s="37"/>
      <c r="F482" s="37"/>
      <c r="G482" s="37"/>
      <c r="H482" s="37"/>
      <c r="I482" s="3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>
      <c r="A483" s="1"/>
      <c r="B483" s="37"/>
      <c r="C483" s="37"/>
      <c r="D483" s="37"/>
      <c r="E483" s="37"/>
      <c r="F483" s="37"/>
      <c r="G483" s="37"/>
      <c r="H483" s="37"/>
      <c r="I483" s="3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>
      <c r="A484" s="1"/>
      <c r="B484" s="37"/>
      <c r="C484" s="37"/>
      <c r="D484" s="37"/>
      <c r="E484" s="37"/>
      <c r="F484" s="37"/>
      <c r="G484" s="37"/>
      <c r="H484" s="37"/>
      <c r="I484" s="3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>
      <c r="A485" s="1"/>
      <c r="B485" s="37"/>
      <c r="C485" s="37"/>
      <c r="D485" s="37"/>
      <c r="E485" s="37"/>
      <c r="F485" s="37"/>
      <c r="G485" s="37"/>
      <c r="H485" s="37"/>
      <c r="I485" s="3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>
      <c r="A486" s="1"/>
      <c r="B486" s="37"/>
      <c r="C486" s="37"/>
      <c r="D486" s="37"/>
      <c r="E486" s="37"/>
      <c r="F486" s="37"/>
      <c r="G486" s="37"/>
      <c r="H486" s="37"/>
      <c r="I486" s="3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>
      <c r="A487" s="1"/>
      <c r="B487" s="37"/>
      <c r="C487" s="37"/>
      <c r="D487" s="37"/>
      <c r="E487" s="37"/>
      <c r="F487" s="37"/>
      <c r="G487" s="37"/>
      <c r="H487" s="37"/>
      <c r="I487" s="3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>
      <c r="A488" s="1"/>
      <c r="B488" s="37"/>
      <c r="C488" s="37"/>
      <c r="D488" s="37"/>
      <c r="E488" s="37"/>
      <c r="F488" s="37"/>
      <c r="G488" s="37"/>
      <c r="H488" s="37"/>
      <c r="I488" s="3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>
      <c r="A489" s="1"/>
      <c r="B489" s="37"/>
      <c r="C489" s="37"/>
      <c r="D489" s="37"/>
      <c r="E489" s="37"/>
      <c r="F489" s="37"/>
      <c r="G489" s="37"/>
      <c r="H489" s="37"/>
      <c r="I489" s="3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>
      <c r="A490" s="1"/>
      <c r="B490" s="37"/>
      <c r="C490" s="37"/>
      <c r="D490" s="37"/>
      <c r="E490" s="37"/>
      <c r="F490" s="37"/>
      <c r="G490" s="37"/>
      <c r="H490" s="37"/>
      <c r="I490" s="3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>
      <c r="A491" s="1"/>
      <c r="B491" s="37"/>
      <c r="C491" s="37"/>
      <c r="D491" s="37"/>
      <c r="E491" s="37"/>
      <c r="F491" s="37"/>
      <c r="G491" s="37"/>
      <c r="H491" s="37"/>
      <c r="I491" s="3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>
      <c r="A492" s="1"/>
      <c r="B492" s="37"/>
      <c r="C492" s="37"/>
      <c r="D492" s="37"/>
      <c r="E492" s="37"/>
      <c r="F492" s="37"/>
      <c r="G492" s="37"/>
      <c r="H492" s="37"/>
      <c r="I492" s="3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>
      <c r="A493" s="1"/>
      <c r="B493" s="37"/>
      <c r="C493" s="37"/>
      <c r="D493" s="37"/>
      <c r="E493" s="37"/>
      <c r="F493" s="37"/>
      <c r="G493" s="37"/>
      <c r="H493" s="37"/>
      <c r="I493" s="3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>
      <c r="A494" s="1"/>
      <c r="B494" s="37"/>
      <c r="C494" s="37"/>
      <c r="D494" s="37"/>
      <c r="E494" s="37"/>
      <c r="F494" s="37"/>
      <c r="G494" s="37"/>
      <c r="H494" s="37"/>
      <c r="I494" s="3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>
      <c r="A495" s="1"/>
      <c r="B495" s="37"/>
      <c r="C495" s="37"/>
      <c r="D495" s="37"/>
      <c r="E495" s="37"/>
      <c r="F495" s="37"/>
      <c r="G495" s="37"/>
      <c r="H495" s="37"/>
      <c r="I495" s="3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>
      <c r="A496" s="1"/>
      <c r="B496" s="37"/>
      <c r="C496" s="37"/>
      <c r="D496" s="37"/>
      <c r="E496" s="37"/>
      <c r="F496" s="37"/>
      <c r="G496" s="37"/>
      <c r="H496" s="37"/>
      <c r="I496" s="3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>
      <c r="A497" s="1"/>
      <c r="B497" s="37"/>
      <c r="C497" s="37"/>
      <c r="D497" s="37"/>
      <c r="E497" s="37"/>
      <c r="F497" s="37"/>
      <c r="G497" s="37"/>
      <c r="H497" s="37"/>
      <c r="I497" s="3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>
      <c r="A498" s="1"/>
      <c r="B498" s="37"/>
      <c r="C498" s="37"/>
      <c r="D498" s="37"/>
      <c r="E498" s="37"/>
      <c r="F498" s="37"/>
      <c r="G498" s="37"/>
      <c r="H498" s="37"/>
      <c r="I498" s="3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>
      <c r="A499" s="1"/>
      <c r="B499" s="37"/>
      <c r="C499" s="37"/>
      <c r="D499" s="37"/>
      <c r="E499" s="37"/>
      <c r="F499" s="37"/>
      <c r="G499" s="37"/>
      <c r="H499" s="37"/>
      <c r="I499" s="3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>
      <c r="A500" s="1"/>
      <c r="B500" s="37"/>
      <c r="C500" s="37"/>
      <c r="D500" s="37"/>
      <c r="E500" s="37"/>
      <c r="F500" s="37"/>
      <c r="G500" s="37"/>
      <c r="H500" s="37"/>
      <c r="I500" s="3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>
      <c r="A501" s="1"/>
      <c r="B501" s="37"/>
      <c r="C501" s="37"/>
      <c r="D501" s="37"/>
      <c r="E501" s="37"/>
      <c r="F501" s="37"/>
      <c r="G501" s="37"/>
      <c r="H501" s="37"/>
      <c r="I501" s="37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>
      <c r="A502" s="1"/>
      <c r="B502" s="37"/>
      <c r="C502" s="37"/>
      <c r="D502" s="37"/>
      <c r="E502" s="37"/>
      <c r="F502" s="37"/>
      <c r="G502" s="37"/>
      <c r="H502" s="37"/>
      <c r="I502" s="37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>
      <c r="A503" s="1"/>
      <c r="B503" s="37"/>
      <c r="C503" s="37"/>
      <c r="D503" s="37"/>
      <c r="E503" s="37"/>
      <c r="F503" s="37"/>
      <c r="G503" s="37"/>
      <c r="H503" s="37"/>
      <c r="I503" s="37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>
      <c r="A504" s="1"/>
      <c r="B504" s="37"/>
      <c r="C504" s="37"/>
      <c r="D504" s="37"/>
      <c r="E504" s="37"/>
      <c r="F504" s="37"/>
      <c r="G504" s="37"/>
      <c r="H504" s="37"/>
      <c r="I504" s="37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>
      <c r="A505" s="1"/>
      <c r="B505" s="37"/>
      <c r="C505" s="37"/>
      <c r="D505" s="37"/>
      <c r="E505" s="37"/>
      <c r="F505" s="37"/>
      <c r="G505" s="37"/>
      <c r="H505" s="37"/>
      <c r="I505" s="37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>
      <c r="A506" s="1"/>
      <c r="B506" s="37"/>
      <c r="C506" s="37"/>
      <c r="D506" s="37"/>
      <c r="E506" s="37"/>
      <c r="F506" s="37"/>
      <c r="G506" s="37"/>
      <c r="H506" s="37"/>
      <c r="I506" s="37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>
      <c r="A507" s="1"/>
      <c r="B507" s="37"/>
      <c r="C507" s="37"/>
      <c r="D507" s="37"/>
      <c r="E507" s="37"/>
      <c r="F507" s="37"/>
      <c r="G507" s="37"/>
      <c r="H507" s="37"/>
      <c r="I507" s="37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>
      <c r="A508" s="1"/>
      <c r="B508" s="37"/>
      <c r="C508" s="37"/>
      <c r="D508" s="37"/>
      <c r="E508" s="37"/>
      <c r="F508" s="37"/>
      <c r="G508" s="37"/>
      <c r="H508" s="37"/>
      <c r="I508" s="37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>
      <c r="A509" s="1"/>
      <c r="B509" s="37"/>
      <c r="C509" s="37"/>
      <c r="D509" s="37"/>
      <c r="E509" s="37"/>
      <c r="F509" s="37"/>
      <c r="G509" s="37"/>
      <c r="H509" s="37"/>
      <c r="I509" s="37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>
      <c r="A510" s="1"/>
      <c r="B510" s="37"/>
      <c r="C510" s="37"/>
      <c r="D510" s="37"/>
      <c r="E510" s="37"/>
      <c r="F510" s="37"/>
      <c r="G510" s="37"/>
      <c r="H510" s="37"/>
      <c r="I510" s="37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>
      <c r="A511" s="1"/>
      <c r="B511" s="37"/>
      <c r="C511" s="37"/>
      <c r="D511" s="37"/>
      <c r="E511" s="37"/>
      <c r="F511" s="37"/>
      <c r="G511" s="37"/>
      <c r="H511" s="37"/>
      <c r="I511" s="37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>
      <c r="A512" s="1"/>
      <c r="B512" s="37"/>
      <c r="C512" s="37"/>
      <c r="D512" s="37"/>
      <c r="E512" s="37"/>
      <c r="F512" s="37"/>
      <c r="G512" s="37"/>
      <c r="H512" s="37"/>
      <c r="I512" s="37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>
      <c r="A513" s="1"/>
      <c r="B513" s="37"/>
      <c r="C513" s="37"/>
      <c r="D513" s="37"/>
      <c r="E513" s="37"/>
      <c r="F513" s="37"/>
      <c r="G513" s="37"/>
      <c r="H513" s="37"/>
      <c r="I513" s="37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>
      <c r="A514" s="1"/>
      <c r="B514" s="37"/>
      <c r="C514" s="37"/>
      <c r="D514" s="37"/>
      <c r="E514" s="37"/>
      <c r="F514" s="37"/>
      <c r="G514" s="37"/>
      <c r="H514" s="37"/>
      <c r="I514" s="37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>
      <c r="A515" s="1"/>
      <c r="B515" s="37"/>
      <c r="C515" s="37"/>
      <c r="D515" s="37"/>
      <c r="E515" s="37"/>
      <c r="F515" s="37"/>
      <c r="G515" s="37"/>
      <c r="H515" s="37"/>
      <c r="I515" s="37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>
      <c r="A516" s="1"/>
      <c r="B516" s="37"/>
      <c r="C516" s="37"/>
      <c r="D516" s="37"/>
      <c r="E516" s="37"/>
      <c r="F516" s="37"/>
      <c r="G516" s="37"/>
      <c r="H516" s="37"/>
      <c r="I516" s="37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>
      <c r="A517" s="1"/>
      <c r="B517" s="37"/>
      <c r="C517" s="37"/>
      <c r="D517" s="37"/>
      <c r="E517" s="37"/>
      <c r="F517" s="37"/>
      <c r="G517" s="37"/>
      <c r="H517" s="37"/>
      <c r="I517" s="37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>
      <c r="A518" s="1"/>
      <c r="B518" s="37"/>
      <c r="C518" s="37"/>
      <c r="D518" s="37"/>
      <c r="E518" s="37"/>
      <c r="F518" s="37"/>
      <c r="G518" s="37"/>
      <c r="H518" s="37"/>
      <c r="I518" s="37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>
      <c r="A519" s="1"/>
      <c r="B519" s="37"/>
      <c r="C519" s="37"/>
      <c r="D519" s="37"/>
      <c r="E519" s="37"/>
      <c r="F519" s="37"/>
      <c r="G519" s="37"/>
      <c r="H519" s="37"/>
      <c r="I519" s="37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>
      <c r="A520" s="1"/>
      <c r="B520" s="37"/>
      <c r="C520" s="37"/>
      <c r="D520" s="37"/>
      <c r="E520" s="37"/>
      <c r="F520" s="37"/>
      <c r="G520" s="37"/>
      <c r="H520" s="37"/>
      <c r="I520" s="37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>
      <c r="A521" s="1"/>
      <c r="B521" s="37"/>
      <c r="C521" s="37"/>
      <c r="D521" s="37"/>
      <c r="E521" s="37"/>
      <c r="F521" s="37"/>
      <c r="G521" s="37"/>
      <c r="H521" s="37"/>
      <c r="I521" s="37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>
      <c r="A522" s="1"/>
      <c r="B522" s="37"/>
      <c r="C522" s="37"/>
      <c r="D522" s="37"/>
      <c r="E522" s="37"/>
      <c r="F522" s="37"/>
      <c r="G522" s="37"/>
      <c r="H522" s="37"/>
      <c r="I522" s="37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>
      <c r="A523" s="1"/>
      <c r="B523" s="37"/>
      <c r="C523" s="37"/>
      <c r="D523" s="37"/>
      <c r="E523" s="37"/>
      <c r="F523" s="37"/>
      <c r="G523" s="37"/>
      <c r="H523" s="37"/>
      <c r="I523" s="37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>
      <c r="A524" s="1"/>
      <c r="B524" s="37"/>
      <c r="C524" s="37"/>
      <c r="D524" s="37"/>
      <c r="E524" s="37"/>
      <c r="F524" s="37"/>
      <c r="G524" s="37"/>
      <c r="H524" s="37"/>
      <c r="I524" s="37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>
      <c r="A525" s="1"/>
      <c r="B525" s="37"/>
      <c r="C525" s="37"/>
      <c r="D525" s="37"/>
      <c r="E525" s="37"/>
      <c r="F525" s="37"/>
      <c r="G525" s="37"/>
      <c r="H525" s="37"/>
      <c r="I525" s="37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>
      <c r="A526" s="1"/>
      <c r="B526" s="37"/>
      <c r="C526" s="37"/>
      <c r="D526" s="37"/>
      <c r="E526" s="37"/>
      <c r="F526" s="37"/>
      <c r="G526" s="37"/>
      <c r="H526" s="37"/>
      <c r="I526" s="37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>
      <c r="A527" s="1"/>
      <c r="B527" s="37"/>
      <c r="C527" s="37"/>
      <c r="D527" s="37"/>
      <c r="E527" s="37"/>
      <c r="F527" s="37"/>
      <c r="G527" s="37"/>
      <c r="H527" s="37"/>
      <c r="I527" s="37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>
      <c r="A528" s="1"/>
      <c r="B528" s="37"/>
      <c r="C528" s="37"/>
      <c r="D528" s="37"/>
      <c r="E528" s="37"/>
      <c r="F528" s="37"/>
      <c r="G528" s="37"/>
      <c r="H528" s="37"/>
      <c r="I528" s="37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>
      <c r="A529" s="1"/>
      <c r="B529" s="37"/>
      <c r="C529" s="37"/>
      <c r="D529" s="37"/>
      <c r="E529" s="37"/>
      <c r="F529" s="37"/>
      <c r="G529" s="37"/>
      <c r="H529" s="37"/>
      <c r="I529" s="37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>
      <c r="A530" s="1"/>
      <c r="B530" s="37"/>
      <c r="C530" s="37"/>
      <c r="D530" s="37"/>
      <c r="E530" s="37"/>
      <c r="F530" s="37"/>
      <c r="G530" s="37"/>
      <c r="H530" s="37"/>
      <c r="I530" s="37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>
      <c r="A531" s="1"/>
      <c r="B531" s="37"/>
      <c r="C531" s="37"/>
      <c r="D531" s="37"/>
      <c r="E531" s="37"/>
      <c r="F531" s="37"/>
      <c r="G531" s="37"/>
      <c r="H531" s="37"/>
      <c r="I531" s="37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>
      <c r="A532" s="1"/>
      <c r="B532" s="37"/>
      <c r="C532" s="37"/>
      <c r="D532" s="37"/>
      <c r="E532" s="37"/>
      <c r="F532" s="37"/>
      <c r="G532" s="37"/>
      <c r="H532" s="37"/>
      <c r="I532" s="37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>
      <c r="A533" s="1"/>
      <c r="B533" s="37"/>
      <c r="C533" s="37"/>
      <c r="D533" s="37"/>
      <c r="E533" s="37"/>
      <c r="F533" s="37"/>
      <c r="G533" s="37"/>
      <c r="H533" s="37"/>
      <c r="I533" s="37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>
      <c r="A534" s="1"/>
      <c r="B534" s="37"/>
      <c r="C534" s="37"/>
      <c r="D534" s="37"/>
      <c r="E534" s="37"/>
      <c r="F534" s="37"/>
      <c r="G534" s="37"/>
      <c r="H534" s="37"/>
      <c r="I534" s="37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>
      <c r="A535" s="1"/>
      <c r="B535" s="37"/>
      <c r="C535" s="37"/>
      <c r="D535" s="37"/>
      <c r="E535" s="37"/>
      <c r="F535" s="37"/>
      <c r="G535" s="37"/>
      <c r="H535" s="37"/>
      <c r="I535" s="37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>
      <c r="A536" s="1"/>
      <c r="B536" s="37"/>
      <c r="C536" s="37"/>
      <c r="D536" s="37"/>
      <c r="E536" s="37"/>
      <c r="F536" s="37"/>
      <c r="G536" s="37"/>
      <c r="H536" s="37"/>
      <c r="I536" s="37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>
      <c r="A537" s="1"/>
      <c r="B537" s="37"/>
      <c r="C537" s="37"/>
      <c r="D537" s="37"/>
      <c r="E537" s="37"/>
      <c r="F537" s="37"/>
      <c r="G537" s="37"/>
      <c r="H537" s="37"/>
      <c r="I537" s="37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>
      <c r="A538" s="1"/>
      <c r="B538" s="37"/>
      <c r="C538" s="37"/>
      <c r="D538" s="37"/>
      <c r="E538" s="37"/>
      <c r="F538" s="37"/>
      <c r="G538" s="37"/>
      <c r="H538" s="37"/>
      <c r="I538" s="37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>
      <c r="A539" s="1"/>
      <c r="B539" s="37"/>
      <c r="C539" s="37"/>
      <c r="D539" s="37"/>
      <c r="E539" s="37"/>
      <c r="F539" s="37"/>
      <c r="G539" s="37"/>
      <c r="H539" s="37"/>
      <c r="I539" s="37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>
      <c r="A540" s="1"/>
      <c r="B540" s="37"/>
      <c r="C540" s="37"/>
      <c r="D540" s="37"/>
      <c r="E540" s="37"/>
      <c r="F540" s="37"/>
      <c r="G540" s="37"/>
      <c r="H540" s="37"/>
      <c r="I540" s="37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>
      <c r="A541" s="1"/>
      <c r="B541" s="37"/>
      <c r="C541" s="37"/>
      <c r="D541" s="37"/>
      <c r="E541" s="37"/>
      <c r="F541" s="37"/>
      <c r="G541" s="37"/>
      <c r="H541" s="37"/>
      <c r="I541" s="37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>
      <c r="A542" s="1"/>
      <c r="B542" s="37"/>
      <c r="C542" s="37"/>
      <c r="D542" s="37"/>
      <c r="E542" s="37"/>
      <c r="F542" s="37"/>
      <c r="G542" s="37"/>
      <c r="H542" s="37"/>
      <c r="I542" s="37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>
      <c r="A543" s="1"/>
      <c r="B543" s="37"/>
      <c r="C543" s="37"/>
      <c r="D543" s="37"/>
      <c r="E543" s="37"/>
      <c r="F543" s="37"/>
      <c r="G543" s="37"/>
      <c r="H543" s="37"/>
      <c r="I543" s="37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>
      <c r="A544" s="1"/>
      <c r="B544" s="37"/>
      <c r="C544" s="37"/>
      <c r="D544" s="37"/>
      <c r="E544" s="37"/>
      <c r="F544" s="37"/>
      <c r="G544" s="37"/>
      <c r="H544" s="37"/>
      <c r="I544" s="37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>
      <c r="A545" s="1"/>
      <c r="B545" s="37"/>
      <c r="C545" s="37"/>
      <c r="D545" s="37"/>
      <c r="E545" s="37"/>
      <c r="F545" s="37"/>
      <c r="G545" s="37"/>
      <c r="H545" s="37"/>
      <c r="I545" s="37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>
      <c r="A546" s="1"/>
      <c r="B546" s="37"/>
      <c r="C546" s="37"/>
      <c r="D546" s="37"/>
      <c r="E546" s="37"/>
      <c r="F546" s="37"/>
      <c r="G546" s="37"/>
      <c r="H546" s="37"/>
      <c r="I546" s="37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>
      <c r="A547" s="1"/>
      <c r="B547" s="37"/>
      <c r="C547" s="37"/>
      <c r="D547" s="37"/>
      <c r="E547" s="37"/>
      <c r="F547" s="37"/>
      <c r="G547" s="37"/>
      <c r="H547" s="37"/>
      <c r="I547" s="37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>
      <c r="A548" s="1"/>
      <c r="B548" s="37"/>
      <c r="C548" s="37"/>
      <c r="D548" s="37"/>
      <c r="E548" s="37"/>
      <c r="F548" s="37"/>
      <c r="G548" s="37"/>
      <c r="H548" s="37"/>
      <c r="I548" s="37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>
      <c r="A549" s="1"/>
      <c r="B549" s="37"/>
      <c r="C549" s="37"/>
      <c r="D549" s="37"/>
      <c r="E549" s="37"/>
      <c r="F549" s="37"/>
      <c r="G549" s="37"/>
      <c r="H549" s="37"/>
      <c r="I549" s="37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>
      <c r="A550" s="1"/>
      <c r="B550" s="37"/>
      <c r="C550" s="37"/>
      <c r="D550" s="37"/>
      <c r="E550" s="37"/>
      <c r="F550" s="37"/>
      <c r="G550" s="37"/>
      <c r="H550" s="37"/>
      <c r="I550" s="37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>
      <c r="A551" s="1"/>
      <c r="B551" s="37"/>
      <c r="C551" s="37"/>
      <c r="D551" s="37"/>
      <c r="E551" s="37"/>
      <c r="F551" s="37"/>
      <c r="G551" s="37"/>
      <c r="H551" s="37"/>
      <c r="I551" s="37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>
      <c r="A552" s="1"/>
      <c r="B552" s="37"/>
      <c r="C552" s="37"/>
      <c r="D552" s="37"/>
      <c r="E552" s="37"/>
      <c r="F552" s="37"/>
      <c r="G552" s="37"/>
      <c r="H552" s="37"/>
      <c r="I552" s="37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>
      <c r="A553" s="1"/>
      <c r="B553" s="37"/>
      <c r="C553" s="37"/>
      <c r="D553" s="37"/>
      <c r="E553" s="37"/>
      <c r="F553" s="37"/>
      <c r="G553" s="37"/>
      <c r="H553" s="37"/>
      <c r="I553" s="37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>
      <c r="A554" s="1"/>
      <c r="B554" s="37"/>
      <c r="C554" s="37"/>
      <c r="D554" s="37"/>
      <c r="E554" s="37"/>
      <c r="F554" s="37"/>
      <c r="G554" s="37"/>
      <c r="H554" s="37"/>
      <c r="I554" s="37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>
      <c r="A555" s="1"/>
      <c r="B555" s="37"/>
      <c r="C555" s="37"/>
      <c r="D555" s="37"/>
      <c r="E555" s="37"/>
      <c r="F555" s="37"/>
      <c r="G555" s="37"/>
      <c r="H555" s="37"/>
      <c r="I555" s="37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>
      <c r="A556" s="1"/>
      <c r="B556" s="37"/>
      <c r="C556" s="37"/>
      <c r="D556" s="37"/>
      <c r="E556" s="37"/>
      <c r="F556" s="37"/>
      <c r="G556" s="37"/>
      <c r="H556" s="37"/>
      <c r="I556" s="37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>
      <c r="A557" s="1"/>
      <c r="B557" s="37"/>
      <c r="C557" s="37"/>
      <c r="D557" s="37"/>
      <c r="E557" s="37"/>
      <c r="F557" s="37"/>
      <c r="G557" s="37"/>
      <c r="H557" s="37"/>
      <c r="I557" s="37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>
      <c r="A558" s="1"/>
      <c r="B558" s="37"/>
      <c r="C558" s="37"/>
      <c r="D558" s="37"/>
      <c r="E558" s="37"/>
      <c r="F558" s="37"/>
      <c r="G558" s="37"/>
      <c r="H558" s="37"/>
      <c r="I558" s="37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>
      <c r="A559" s="1"/>
      <c r="B559" s="37"/>
      <c r="C559" s="37"/>
      <c r="D559" s="37"/>
      <c r="E559" s="37"/>
      <c r="F559" s="37"/>
      <c r="G559" s="37"/>
      <c r="H559" s="37"/>
      <c r="I559" s="37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>
      <c r="A560" s="1"/>
      <c r="B560" s="37"/>
      <c r="C560" s="37"/>
      <c r="D560" s="37"/>
      <c r="E560" s="37"/>
      <c r="F560" s="37"/>
      <c r="G560" s="37"/>
      <c r="H560" s="37"/>
      <c r="I560" s="37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>
      <c r="A561" s="1"/>
      <c r="B561" s="37"/>
      <c r="C561" s="37"/>
      <c r="D561" s="37"/>
      <c r="E561" s="37"/>
      <c r="F561" s="37"/>
      <c r="G561" s="37"/>
      <c r="H561" s="37"/>
      <c r="I561" s="37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>
      <c r="A562" s="1"/>
      <c r="B562" s="37"/>
      <c r="C562" s="37"/>
      <c r="D562" s="37"/>
      <c r="E562" s="37"/>
      <c r="F562" s="37"/>
      <c r="G562" s="37"/>
      <c r="H562" s="37"/>
      <c r="I562" s="37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>
      <c r="A563" s="1"/>
      <c r="B563" s="37"/>
      <c r="C563" s="37"/>
      <c r="D563" s="37"/>
      <c r="E563" s="37"/>
      <c r="F563" s="37"/>
      <c r="G563" s="37"/>
      <c r="H563" s="37"/>
      <c r="I563" s="37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>
      <c r="A564" s="1"/>
      <c r="B564" s="37"/>
      <c r="C564" s="37"/>
      <c r="D564" s="37"/>
      <c r="E564" s="37"/>
      <c r="F564" s="37"/>
      <c r="G564" s="37"/>
      <c r="H564" s="37"/>
      <c r="I564" s="37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>
      <c r="A565" s="1"/>
      <c r="B565" s="37"/>
      <c r="C565" s="37"/>
      <c r="D565" s="37"/>
      <c r="E565" s="37"/>
      <c r="F565" s="37"/>
      <c r="G565" s="37"/>
      <c r="H565" s="37"/>
      <c r="I565" s="37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>
      <c r="A566" s="1"/>
      <c r="B566" s="37"/>
      <c r="C566" s="37"/>
      <c r="D566" s="37"/>
      <c r="E566" s="37"/>
      <c r="F566" s="37"/>
      <c r="G566" s="37"/>
      <c r="H566" s="37"/>
      <c r="I566" s="37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>
      <c r="A567" s="1"/>
      <c r="B567" s="37"/>
      <c r="C567" s="37"/>
      <c r="D567" s="37"/>
      <c r="E567" s="37"/>
      <c r="F567" s="37"/>
      <c r="G567" s="37"/>
      <c r="H567" s="37"/>
      <c r="I567" s="37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>
      <c r="A568" s="1"/>
      <c r="B568" s="37"/>
      <c r="C568" s="37"/>
      <c r="D568" s="37"/>
      <c r="E568" s="37"/>
      <c r="F568" s="37"/>
      <c r="G568" s="37"/>
      <c r="H568" s="37"/>
      <c r="I568" s="37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>
      <c r="A569" s="1"/>
      <c r="B569" s="37"/>
      <c r="C569" s="37"/>
      <c r="D569" s="37"/>
      <c r="E569" s="37"/>
      <c r="F569" s="37"/>
      <c r="G569" s="37"/>
      <c r="H569" s="37"/>
      <c r="I569" s="37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>
      <c r="A570" s="1"/>
      <c r="B570" s="37"/>
      <c r="C570" s="37"/>
      <c r="D570" s="37"/>
      <c r="E570" s="37"/>
      <c r="F570" s="37"/>
      <c r="G570" s="37"/>
      <c r="H570" s="37"/>
      <c r="I570" s="37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>
      <c r="A571" s="1"/>
      <c r="B571" s="37"/>
      <c r="C571" s="37"/>
      <c r="D571" s="37"/>
      <c r="E571" s="37"/>
      <c r="F571" s="37"/>
      <c r="G571" s="37"/>
      <c r="H571" s="37"/>
      <c r="I571" s="37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>
      <c r="A572" s="1"/>
      <c r="B572" s="37"/>
      <c r="C572" s="37"/>
      <c r="D572" s="37"/>
      <c r="E572" s="37"/>
      <c r="F572" s="37"/>
      <c r="G572" s="37"/>
      <c r="H572" s="37"/>
      <c r="I572" s="37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>
      <c r="A573" s="1"/>
      <c r="B573" s="37"/>
      <c r="C573" s="37"/>
      <c r="D573" s="37"/>
      <c r="E573" s="37"/>
      <c r="F573" s="37"/>
      <c r="G573" s="37"/>
      <c r="H573" s="37"/>
      <c r="I573" s="37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>
      <c r="A574" s="1"/>
      <c r="B574" s="37"/>
      <c r="C574" s="37"/>
      <c r="D574" s="37"/>
      <c r="E574" s="37"/>
      <c r="F574" s="37"/>
      <c r="G574" s="37"/>
      <c r="H574" s="37"/>
      <c r="I574" s="37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>
      <c r="A575" s="1"/>
      <c r="B575" s="37"/>
      <c r="C575" s="37"/>
      <c r="D575" s="37"/>
      <c r="E575" s="37"/>
      <c r="F575" s="37"/>
      <c r="G575" s="37"/>
      <c r="H575" s="37"/>
      <c r="I575" s="37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>
      <c r="A576" s="1"/>
      <c r="B576" s="37"/>
      <c r="C576" s="37"/>
      <c r="D576" s="37"/>
      <c r="E576" s="37"/>
      <c r="F576" s="37"/>
      <c r="G576" s="37"/>
      <c r="H576" s="37"/>
      <c r="I576" s="37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>
      <c r="A577" s="1"/>
      <c r="B577" s="37"/>
      <c r="C577" s="37"/>
      <c r="D577" s="37"/>
      <c r="E577" s="37"/>
      <c r="F577" s="37"/>
      <c r="G577" s="37"/>
      <c r="H577" s="37"/>
      <c r="I577" s="37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>
      <c r="A578" s="1"/>
      <c r="B578" s="37"/>
      <c r="C578" s="37"/>
      <c r="D578" s="37"/>
      <c r="E578" s="37"/>
      <c r="F578" s="37"/>
      <c r="G578" s="37"/>
      <c r="H578" s="37"/>
      <c r="I578" s="37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>
      <c r="A579" s="1"/>
      <c r="B579" s="37"/>
      <c r="C579" s="37"/>
      <c r="D579" s="37"/>
      <c r="E579" s="37"/>
      <c r="F579" s="37"/>
      <c r="G579" s="37"/>
      <c r="H579" s="37"/>
      <c r="I579" s="37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>
      <c r="A580" s="1"/>
      <c r="B580" s="37"/>
      <c r="C580" s="37"/>
      <c r="D580" s="37"/>
      <c r="E580" s="37"/>
      <c r="F580" s="37"/>
      <c r="G580" s="37"/>
      <c r="H580" s="37"/>
      <c r="I580" s="37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>
      <c r="A581" s="1"/>
      <c r="B581" s="37"/>
      <c r="C581" s="37"/>
      <c r="D581" s="37"/>
      <c r="E581" s="37"/>
      <c r="F581" s="37"/>
      <c r="G581" s="37"/>
      <c r="H581" s="37"/>
      <c r="I581" s="37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>
      <c r="A582" s="1"/>
      <c r="B582" s="37"/>
      <c r="C582" s="37"/>
      <c r="D582" s="37"/>
      <c r="E582" s="37"/>
      <c r="F582" s="37"/>
      <c r="G582" s="37"/>
      <c r="H582" s="37"/>
      <c r="I582" s="37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>
      <c r="A583" s="1"/>
      <c r="B583" s="37"/>
      <c r="C583" s="37"/>
      <c r="D583" s="37"/>
      <c r="E583" s="37"/>
      <c r="F583" s="37"/>
      <c r="G583" s="37"/>
      <c r="H583" s="37"/>
      <c r="I583" s="37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>
      <c r="A584" s="1"/>
      <c r="B584" s="37"/>
      <c r="C584" s="37"/>
      <c r="D584" s="37"/>
      <c r="E584" s="37"/>
      <c r="F584" s="37"/>
      <c r="G584" s="37"/>
      <c r="H584" s="37"/>
      <c r="I584" s="37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>
      <c r="A585" s="1"/>
      <c r="B585" s="37"/>
      <c r="C585" s="37"/>
      <c r="D585" s="37"/>
      <c r="E585" s="37"/>
      <c r="F585" s="37"/>
      <c r="G585" s="37"/>
      <c r="H585" s="37"/>
      <c r="I585" s="37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>
      <c r="A586" s="1"/>
      <c r="B586" s="37"/>
      <c r="C586" s="37"/>
      <c r="D586" s="37"/>
      <c r="E586" s="37"/>
      <c r="F586" s="37"/>
      <c r="G586" s="37"/>
      <c r="H586" s="37"/>
      <c r="I586" s="37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>
      <c r="A587" s="1"/>
      <c r="B587" s="37"/>
      <c r="C587" s="37"/>
      <c r="D587" s="37"/>
      <c r="E587" s="37"/>
      <c r="F587" s="37"/>
      <c r="G587" s="37"/>
      <c r="H587" s="37"/>
      <c r="I587" s="37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>
      <c r="A588" s="1"/>
      <c r="B588" s="37"/>
      <c r="C588" s="37"/>
      <c r="D588" s="37"/>
      <c r="E588" s="37"/>
      <c r="F588" s="37"/>
      <c r="G588" s="37"/>
      <c r="H588" s="37"/>
      <c r="I588" s="37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>
      <c r="A589" s="1"/>
      <c r="B589" s="37"/>
      <c r="C589" s="37"/>
      <c r="D589" s="37"/>
      <c r="E589" s="37"/>
      <c r="F589" s="37"/>
      <c r="G589" s="37"/>
      <c r="H589" s="37"/>
      <c r="I589" s="37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>
      <c r="A590" s="1"/>
      <c r="B590" s="37"/>
      <c r="C590" s="37"/>
      <c r="D590" s="37"/>
      <c r="E590" s="37"/>
      <c r="F590" s="37"/>
      <c r="G590" s="37"/>
      <c r="H590" s="37"/>
      <c r="I590" s="37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>
      <c r="A591" s="1"/>
      <c r="B591" s="37"/>
      <c r="C591" s="37"/>
      <c r="D591" s="37"/>
      <c r="E591" s="37"/>
      <c r="F591" s="37"/>
      <c r="G591" s="37"/>
      <c r="H591" s="37"/>
      <c r="I591" s="37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>
      <c r="A592" s="1"/>
      <c r="B592" s="37"/>
      <c r="C592" s="37"/>
      <c r="D592" s="37"/>
      <c r="E592" s="37"/>
      <c r="F592" s="37"/>
      <c r="G592" s="37"/>
      <c r="H592" s="37"/>
      <c r="I592" s="37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>
      <c r="A593" s="1"/>
      <c r="B593" s="37"/>
      <c r="C593" s="37"/>
      <c r="D593" s="37"/>
      <c r="E593" s="37"/>
      <c r="F593" s="37"/>
      <c r="G593" s="37"/>
      <c r="H593" s="37"/>
      <c r="I593" s="37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>
      <c r="A594" s="1"/>
      <c r="B594" s="37"/>
      <c r="C594" s="37"/>
      <c r="D594" s="37"/>
      <c r="E594" s="37"/>
      <c r="F594" s="37"/>
      <c r="G594" s="37"/>
      <c r="H594" s="37"/>
      <c r="I594" s="37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>
      <c r="A595" s="1"/>
      <c r="B595" s="37"/>
      <c r="C595" s="37"/>
      <c r="D595" s="37"/>
      <c r="E595" s="37"/>
      <c r="F595" s="37"/>
      <c r="G595" s="37"/>
      <c r="H595" s="37"/>
      <c r="I595" s="37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>
      <c r="A596" s="1"/>
      <c r="B596" s="37"/>
      <c r="C596" s="37"/>
      <c r="D596" s="37"/>
      <c r="E596" s="37"/>
      <c r="F596" s="37"/>
      <c r="G596" s="37"/>
      <c r="H596" s="37"/>
      <c r="I596" s="37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>
      <c r="A597" s="1"/>
      <c r="B597" s="37"/>
      <c r="C597" s="37"/>
      <c r="D597" s="37"/>
      <c r="E597" s="37"/>
      <c r="F597" s="37"/>
      <c r="G597" s="37"/>
      <c r="H597" s="37"/>
      <c r="I597" s="37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>
      <c r="A598" s="1"/>
      <c r="B598" s="37"/>
      <c r="C598" s="37"/>
      <c r="D598" s="37"/>
      <c r="E598" s="37"/>
      <c r="F598" s="37"/>
      <c r="G598" s="37"/>
      <c r="H598" s="37"/>
      <c r="I598" s="37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>
      <c r="A599" s="1"/>
      <c r="B599" s="37"/>
      <c r="C599" s="37"/>
      <c r="D599" s="37"/>
      <c r="E599" s="37"/>
      <c r="F599" s="37"/>
      <c r="G599" s="37"/>
      <c r="H599" s="37"/>
      <c r="I599" s="37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>
      <c r="A600" s="1"/>
      <c r="B600" s="37"/>
      <c r="C600" s="37"/>
      <c r="D600" s="37"/>
      <c r="E600" s="37"/>
      <c r="F600" s="37"/>
      <c r="G600" s="37"/>
      <c r="H600" s="37"/>
      <c r="I600" s="37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>
      <c r="A601" s="1"/>
      <c r="B601" s="37"/>
      <c r="C601" s="37"/>
      <c r="D601" s="37"/>
      <c r="E601" s="37"/>
      <c r="F601" s="37"/>
      <c r="G601" s="37"/>
      <c r="H601" s="37"/>
      <c r="I601" s="37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>
      <c r="A602" s="1"/>
      <c r="B602" s="37"/>
      <c r="C602" s="37"/>
      <c r="D602" s="37"/>
      <c r="E602" s="37"/>
      <c r="F602" s="37"/>
      <c r="G602" s="37"/>
      <c r="H602" s="37"/>
      <c r="I602" s="37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>
      <c r="A603" s="1"/>
      <c r="B603" s="37"/>
      <c r="C603" s="37"/>
      <c r="D603" s="37"/>
      <c r="E603" s="37"/>
      <c r="F603" s="37"/>
      <c r="G603" s="37"/>
      <c r="H603" s="37"/>
      <c r="I603" s="37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>
      <c r="A604" s="1"/>
      <c r="B604" s="37"/>
      <c r="C604" s="37"/>
      <c r="D604" s="37"/>
      <c r="E604" s="37"/>
      <c r="F604" s="37"/>
      <c r="G604" s="37"/>
      <c r="H604" s="37"/>
      <c r="I604" s="37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>
      <c r="A605" s="1"/>
      <c r="B605" s="37"/>
      <c r="C605" s="37"/>
      <c r="D605" s="37"/>
      <c r="E605" s="37"/>
      <c r="F605" s="37"/>
      <c r="G605" s="37"/>
      <c r="H605" s="37"/>
      <c r="I605" s="37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>
      <c r="A606" s="1"/>
      <c r="B606" s="37"/>
      <c r="C606" s="37"/>
      <c r="D606" s="37"/>
      <c r="E606" s="37"/>
      <c r="F606" s="37"/>
      <c r="G606" s="37"/>
      <c r="H606" s="37"/>
      <c r="I606" s="37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>
      <c r="A607" s="1"/>
      <c r="B607" s="37"/>
      <c r="C607" s="37"/>
      <c r="D607" s="37"/>
      <c r="E607" s="37"/>
      <c r="F607" s="37"/>
      <c r="G607" s="37"/>
      <c r="H607" s="37"/>
      <c r="I607" s="37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>
      <c r="A608" s="1"/>
      <c r="B608" s="37"/>
      <c r="C608" s="37"/>
      <c r="D608" s="37"/>
      <c r="E608" s="37"/>
      <c r="F608" s="37"/>
      <c r="G608" s="37"/>
      <c r="H608" s="37"/>
      <c r="I608" s="37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>
      <c r="A609" s="1"/>
      <c r="B609" s="37"/>
      <c r="C609" s="37"/>
      <c r="D609" s="37"/>
      <c r="E609" s="37"/>
      <c r="F609" s="37"/>
      <c r="G609" s="37"/>
      <c r="H609" s="37"/>
      <c r="I609" s="37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>
      <c r="A610" s="1"/>
      <c r="B610" s="37"/>
      <c r="C610" s="37"/>
      <c r="D610" s="37"/>
      <c r="E610" s="37"/>
      <c r="F610" s="37"/>
      <c r="G610" s="37"/>
      <c r="H610" s="37"/>
      <c r="I610" s="37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>
      <c r="A611" s="1"/>
      <c r="B611" s="37"/>
      <c r="C611" s="37"/>
      <c r="D611" s="37"/>
      <c r="E611" s="37"/>
      <c r="F611" s="37"/>
      <c r="G611" s="37"/>
      <c r="H611" s="37"/>
      <c r="I611" s="37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>
      <c r="A612" s="1"/>
      <c r="B612" s="37"/>
      <c r="C612" s="37"/>
      <c r="D612" s="37"/>
      <c r="E612" s="37"/>
      <c r="F612" s="37"/>
      <c r="G612" s="37"/>
      <c r="H612" s="37"/>
      <c r="I612" s="37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>
      <c r="A613" s="1"/>
      <c r="B613" s="37"/>
      <c r="C613" s="37"/>
      <c r="D613" s="37"/>
      <c r="E613" s="37"/>
      <c r="F613" s="37"/>
      <c r="G613" s="37"/>
      <c r="H613" s="37"/>
      <c r="I613" s="37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>
      <c r="A614" s="1"/>
      <c r="B614" s="37"/>
      <c r="C614" s="37"/>
      <c r="D614" s="37"/>
      <c r="E614" s="37"/>
      <c r="F614" s="37"/>
      <c r="G614" s="37"/>
      <c r="H614" s="37"/>
      <c r="I614" s="37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>
      <c r="A615" s="1"/>
      <c r="B615" s="37"/>
      <c r="C615" s="37"/>
      <c r="D615" s="37"/>
      <c r="E615" s="37"/>
      <c r="F615" s="37"/>
      <c r="G615" s="37"/>
      <c r="H615" s="37"/>
      <c r="I615" s="37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>
      <c r="A616" s="1"/>
      <c r="B616" s="37"/>
      <c r="C616" s="37"/>
      <c r="D616" s="37"/>
      <c r="E616" s="37"/>
      <c r="F616" s="37"/>
      <c r="G616" s="37"/>
      <c r="H616" s="37"/>
      <c r="I616" s="37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>
      <c r="A617" s="1"/>
      <c r="B617" s="37"/>
      <c r="C617" s="37"/>
      <c r="D617" s="37"/>
      <c r="E617" s="37"/>
      <c r="F617" s="37"/>
      <c r="G617" s="37"/>
      <c r="H617" s="37"/>
      <c r="I617" s="37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>
      <c r="A618" s="1"/>
      <c r="B618" s="37"/>
      <c r="C618" s="37"/>
      <c r="D618" s="37"/>
      <c r="E618" s="37"/>
      <c r="F618" s="37"/>
      <c r="G618" s="37"/>
      <c r="H618" s="37"/>
      <c r="I618" s="37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>
      <c r="A619" s="1"/>
      <c r="B619" s="37"/>
      <c r="C619" s="37"/>
      <c r="D619" s="37"/>
      <c r="E619" s="37"/>
      <c r="F619" s="37"/>
      <c r="G619" s="37"/>
      <c r="H619" s="37"/>
      <c r="I619" s="37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>
      <c r="A620" s="1"/>
      <c r="B620" s="37"/>
      <c r="C620" s="37"/>
      <c r="D620" s="37"/>
      <c r="E620" s="37"/>
      <c r="F620" s="37"/>
      <c r="G620" s="37"/>
      <c r="H620" s="37"/>
      <c r="I620" s="37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>
      <c r="A621" s="1"/>
      <c r="B621" s="37"/>
      <c r="C621" s="37"/>
      <c r="D621" s="37"/>
      <c r="E621" s="37"/>
      <c r="F621" s="37"/>
      <c r="G621" s="37"/>
      <c r="H621" s="37"/>
      <c r="I621" s="37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>
      <c r="A622" s="1"/>
      <c r="B622" s="37"/>
      <c r="C622" s="37"/>
      <c r="D622" s="37"/>
      <c r="E622" s="37"/>
      <c r="F622" s="37"/>
      <c r="G622" s="37"/>
      <c r="H622" s="37"/>
      <c r="I622" s="37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>
      <c r="A623" s="1"/>
      <c r="B623" s="37"/>
      <c r="C623" s="37"/>
      <c r="D623" s="37"/>
      <c r="E623" s="37"/>
      <c r="F623" s="37"/>
      <c r="G623" s="37"/>
      <c r="H623" s="37"/>
      <c r="I623" s="37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>
      <c r="A624" s="1"/>
      <c r="B624" s="37"/>
      <c r="C624" s="37"/>
      <c r="D624" s="37"/>
      <c r="E624" s="37"/>
      <c r="F624" s="37"/>
      <c r="G624" s="37"/>
      <c r="H624" s="37"/>
      <c r="I624" s="37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>
      <c r="A625" s="1"/>
      <c r="B625" s="37"/>
      <c r="C625" s="37"/>
      <c r="D625" s="37"/>
      <c r="E625" s="37"/>
      <c r="F625" s="37"/>
      <c r="G625" s="37"/>
      <c r="H625" s="37"/>
      <c r="I625" s="37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>
      <c r="A626" s="1"/>
      <c r="B626" s="37"/>
      <c r="C626" s="37"/>
      <c r="D626" s="37"/>
      <c r="E626" s="37"/>
      <c r="F626" s="37"/>
      <c r="G626" s="37"/>
      <c r="H626" s="37"/>
      <c r="I626" s="37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>
      <c r="A627" s="1"/>
      <c r="B627" s="37"/>
      <c r="C627" s="37"/>
      <c r="D627" s="37"/>
      <c r="E627" s="37"/>
      <c r="F627" s="37"/>
      <c r="G627" s="37"/>
      <c r="H627" s="37"/>
      <c r="I627" s="37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>
      <c r="A628" s="1"/>
      <c r="B628" s="37"/>
      <c r="C628" s="37"/>
      <c r="D628" s="37"/>
      <c r="E628" s="37"/>
      <c r="F628" s="37"/>
      <c r="G628" s="37"/>
      <c r="H628" s="37"/>
      <c r="I628" s="37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>
      <c r="A629" s="1"/>
      <c r="B629" s="37"/>
      <c r="C629" s="37"/>
      <c r="D629" s="37"/>
      <c r="E629" s="37"/>
      <c r="F629" s="37"/>
      <c r="G629" s="37"/>
      <c r="H629" s="37"/>
      <c r="I629" s="37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>
      <c r="A630" s="1"/>
      <c r="B630" s="37"/>
      <c r="C630" s="37"/>
      <c r="D630" s="37"/>
      <c r="E630" s="37"/>
      <c r="F630" s="37"/>
      <c r="G630" s="37"/>
      <c r="H630" s="37"/>
      <c r="I630" s="37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>
      <c r="A631" s="1"/>
      <c r="B631" s="37"/>
      <c r="C631" s="37"/>
      <c r="D631" s="37"/>
      <c r="E631" s="37"/>
      <c r="F631" s="37"/>
      <c r="G631" s="37"/>
      <c r="H631" s="37"/>
      <c r="I631" s="37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>
      <c r="A632" s="1"/>
      <c r="B632" s="37"/>
      <c r="C632" s="37"/>
      <c r="D632" s="37"/>
      <c r="E632" s="37"/>
      <c r="F632" s="37"/>
      <c r="G632" s="37"/>
      <c r="H632" s="37"/>
      <c r="I632" s="37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>
      <c r="A633" s="1"/>
      <c r="B633" s="37"/>
      <c r="C633" s="37"/>
      <c r="D633" s="37"/>
      <c r="E633" s="37"/>
      <c r="F633" s="37"/>
      <c r="G633" s="37"/>
      <c r="H633" s="37"/>
      <c r="I633" s="37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>
      <c r="A634" s="1"/>
      <c r="B634" s="37"/>
      <c r="C634" s="37"/>
      <c r="D634" s="37"/>
      <c r="E634" s="37"/>
      <c r="F634" s="37"/>
      <c r="G634" s="37"/>
      <c r="H634" s="37"/>
      <c r="I634" s="37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>
      <c r="A635" s="1"/>
      <c r="B635" s="37"/>
      <c r="C635" s="37"/>
      <c r="D635" s="37"/>
      <c r="E635" s="37"/>
      <c r="F635" s="37"/>
      <c r="G635" s="37"/>
      <c r="H635" s="37"/>
      <c r="I635" s="37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>
      <c r="A636" s="1"/>
      <c r="B636" s="37"/>
      <c r="C636" s="37"/>
      <c r="D636" s="37"/>
      <c r="E636" s="37"/>
      <c r="F636" s="37"/>
      <c r="G636" s="37"/>
      <c r="H636" s="37"/>
      <c r="I636" s="37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>
      <c r="A637" s="1"/>
      <c r="B637" s="37"/>
      <c r="C637" s="37"/>
      <c r="D637" s="37"/>
      <c r="E637" s="37"/>
      <c r="F637" s="37"/>
      <c r="G637" s="37"/>
      <c r="H637" s="37"/>
      <c r="I637" s="37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>
      <c r="A638" s="1"/>
      <c r="B638" s="37"/>
      <c r="C638" s="37"/>
      <c r="D638" s="37"/>
      <c r="E638" s="37"/>
      <c r="F638" s="37"/>
      <c r="G638" s="37"/>
      <c r="H638" s="37"/>
      <c r="I638" s="37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>
      <c r="A639" s="1"/>
      <c r="B639" s="37"/>
      <c r="C639" s="37"/>
      <c r="D639" s="37"/>
      <c r="E639" s="37"/>
      <c r="F639" s="37"/>
      <c r="G639" s="37"/>
      <c r="H639" s="37"/>
      <c r="I639" s="37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>
      <c r="A640" s="1"/>
      <c r="B640" s="37"/>
      <c r="C640" s="37"/>
      <c r="D640" s="37"/>
      <c r="E640" s="37"/>
      <c r="F640" s="37"/>
      <c r="G640" s="37"/>
      <c r="H640" s="37"/>
      <c r="I640" s="37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>
      <c r="A641" s="1"/>
      <c r="B641" s="37"/>
      <c r="C641" s="37"/>
      <c r="D641" s="37"/>
      <c r="E641" s="37"/>
      <c r="F641" s="37"/>
      <c r="G641" s="37"/>
      <c r="H641" s="37"/>
      <c r="I641" s="37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>
      <c r="A642" s="1"/>
      <c r="B642" s="37"/>
      <c r="C642" s="37"/>
      <c r="D642" s="37"/>
      <c r="E642" s="37"/>
      <c r="F642" s="37"/>
      <c r="G642" s="37"/>
      <c r="H642" s="37"/>
      <c r="I642" s="37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>
      <c r="A643" s="1"/>
      <c r="B643" s="37"/>
      <c r="C643" s="37"/>
      <c r="D643" s="37"/>
      <c r="E643" s="37"/>
      <c r="F643" s="37"/>
      <c r="G643" s="37"/>
      <c r="H643" s="37"/>
      <c r="I643" s="37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>
      <c r="A644" s="1"/>
      <c r="B644" s="37"/>
      <c r="C644" s="37"/>
      <c r="D644" s="37"/>
      <c r="E644" s="37"/>
      <c r="F644" s="37"/>
      <c r="G644" s="37"/>
      <c r="H644" s="37"/>
      <c r="I644" s="37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>
      <c r="A645" s="1"/>
      <c r="B645" s="37"/>
      <c r="C645" s="37"/>
      <c r="D645" s="37"/>
      <c r="E645" s="37"/>
      <c r="F645" s="37"/>
      <c r="G645" s="37"/>
      <c r="H645" s="37"/>
      <c r="I645" s="37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>
      <c r="A646" s="1"/>
      <c r="B646" s="37"/>
      <c r="C646" s="37"/>
      <c r="D646" s="37"/>
      <c r="E646" s="37"/>
      <c r="F646" s="37"/>
      <c r="G646" s="37"/>
      <c r="H646" s="37"/>
      <c r="I646" s="37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>
      <c r="A647" s="1"/>
      <c r="B647" s="37"/>
      <c r="C647" s="37"/>
      <c r="D647" s="37"/>
      <c r="E647" s="37"/>
      <c r="F647" s="37"/>
      <c r="G647" s="37"/>
      <c r="H647" s="37"/>
      <c r="I647" s="37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>
      <c r="A648" s="1"/>
      <c r="B648" s="37"/>
      <c r="C648" s="37"/>
      <c r="D648" s="37"/>
      <c r="E648" s="37"/>
      <c r="F648" s="37"/>
      <c r="G648" s="37"/>
      <c r="H648" s="37"/>
      <c r="I648" s="37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>
      <c r="A649" s="1"/>
      <c r="B649" s="37"/>
      <c r="C649" s="37"/>
      <c r="D649" s="37"/>
      <c r="E649" s="37"/>
      <c r="F649" s="37"/>
      <c r="G649" s="37"/>
      <c r="H649" s="37"/>
      <c r="I649" s="37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>
      <c r="A650" s="1"/>
      <c r="B650" s="37"/>
      <c r="C650" s="37"/>
      <c r="D650" s="37"/>
      <c r="E650" s="37"/>
      <c r="F650" s="37"/>
      <c r="G650" s="37"/>
      <c r="H650" s="37"/>
      <c r="I650" s="37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>
      <c r="A651" s="1"/>
      <c r="B651" s="37"/>
      <c r="C651" s="37"/>
      <c r="D651" s="37"/>
      <c r="E651" s="37"/>
      <c r="F651" s="37"/>
      <c r="G651" s="37"/>
      <c r="H651" s="37"/>
      <c r="I651" s="37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>
      <c r="A652" s="1"/>
      <c r="B652" s="37"/>
      <c r="C652" s="37"/>
      <c r="D652" s="37"/>
      <c r="E652" s="37"/>
      <c r="F652" s="37"/>
      <c r="G652" s="37"/>
      <c r="H652" s="37"/>
      <c r="I652" s="37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>
      <c r="A653" s="1"/>
      <c r="B653" s="37"/>
      <c r="C653" s="37"/>
      <c r="D653" s="37"/>
      <c r="E653" s="37"/>
      <c r="F653" s="37"/>
      <c r="G653" s="37"/>
      <c r="H653" s="37"/>
      <c r="I653" s="37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>
      <c r="A654" s="1"/>
      <c r="B654" s="37"/>
      <c r="C654" s="37"/>
      <c r="D654" s="37"/>
      <c r="E654" s="37"/>
      <c r="F654" s="37"/>
      <c r="G654" s="37"/>
      <c r="H654" s="37"/>
      <c r="I654" s="37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>
      <c r="A655" s="1"/>
      <c r="B655" s="37"/>
      <c r="C655" s="37"/>
      <c r="D655" s="37"/>
      <c r="E655" s="37"/>
      <c r="F655" s="37"/>
      <c r="G655" s="37"/>
      <c r="H655" s="37"/>
      <c r="I655" s="37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>
      <c r="A656" s="1"/>
      <c r="B656" s="37"/>
      <c r="C656" s="37"/>
      <c r="D656" s="37"/>
      <c r="E656" s="37"/>
      <c r="F656" s="37"/>
      <c r="G656" s="37"/>
      <c r="H656" s="37"/>
      <c r="I656" s="37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>
      <c r="A657" s="1"/>
      <c r="B657" s="37"/>
      <c r="C657" s="37"/>
      <c r="D657" s="37"/>
      <c r="E657" s="37"/>
      <c r="F657" s="37"/>
      <c r="G657" s="37"/>
      <c r="H657" s="37"/>
      <c r="I657" s="37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>
      <c r="A658" s="1"/>
      <c r="B658" s="37"/>
      <c r="C658" s="37"/>
      <c r="D658" s="37"/>
      <c r="E658" s="37"/>
      <c r="F658" s="37"/>
      <c r="G658" s="37"/>
      <c r="H658" s="37"/>
      <c r="I658" s="37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>
      <c r="A659" s="1"/>
      <c r="B659" s="37"/>
      <c r="C659" s="37"/>
      <c r="D659" s="37"/>
      <c r="E659" s="37"/>
      <c r="F659" s="37"/>
      <c r="G659" s="37"/>
      <c r="H659" s="37"/>
      <c r="I659" s="37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>
      <c r="A660" s="1"/>
      <c r="B660" s="37"/>
      <c r="C660" s="37"/>
      <c r="D660" s="37"/>
      <c r="E660" s="37"/>
      <c r="F660" s="37"/>
      <c r="G660" s="37"/>
      <c r="H660" s="37"/>
      <c r="I660" s="37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>
      <c r="A661" s="1"/>
      <c r="B661" s="37"/>
      <c r="C661" s="37"/>
      <c r="D661" s="37"/>
      <c r="E661" s="37"/>
      <c r="F661" s="37"/>
      <c r="G661" s="37"/>
      <c r="H661" s="37"/>
      <c r="I661" s="37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>
      <c r="A662" s="1"/>
      <c r="B662" s="37"/>
      <c r="C662" s="37"/>
      <c r="D662" s="37"/>
      <c r="E662" s="37"/>
      <c r="F662" s="37"/>
      <c r="G662" s="37"/>
      <c r="H662" s="37"/>
      <c r="I662" s="37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>
      <c r="A663" s="1"/>
      <c r="B663" s="37"/>
      <c r="C663" s="37"/>
      <c r="D663" s="37"/>
      <c r="E663" s="37"/>
      <c r="F663" s="37"/>
      <c r="G663" s="37"/>
      <c r="H663" s="37"/>
      <c r="I663" s="37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>
      <c r="A664" s="1"/>
      <c r="B664" s="37"/>
      <c r="C664" s="37"/>
      <c r="D664" s="37"/>
      <c r="E664" s="37"/>
      <c r="F664" s="37"/>
      <c r="G664" s="37"/>
      <c r="H664" s="37"/>
      <c r="I664" s="37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>
      <c r="A665" s="1"/>
      <c r="B665" s="37"/>
      <c r="C665" s="37"/>
      <c r="D665" s="37"/>
      <c r="E665" s="37"/>
      <c r="F665" s="37"/>
      <c r="G665" s="37"/>
      <c r="H665" s="37"/>
      <c r="I665" s="37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>
      <c r="A666" s="1"/>
      <c r="B666" s="37"/>
      <c r="C666" s="37"/>
      <c r="D666" s="37"/>
      <c r="E666" s="37"/>
      <c r="F666" s="37"/>
      <c r="G666" s="37"/>
      <c r="H666" s="37"/>
      <c r="I666" s="37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>
      <c r="A667" s="1"/>
      <c r="B667" s="37"/>
      <c r="C667" s="37"/>
      <c r="D667" s="37"/>
      <c r="E667" s="37"/>
      <c r="F667" s="37"/>
      <c r="G667" s="37"/>
      <c r="H667" s="37"/>
      <c r="I667" s="37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>
      <c r="A668" s="1"/>
      <c r="B668" s="37"/>
      <c r="C668" s="37"/>
      <c r="D668" s="37"/>
      <c r="E668" s="37"/>
      <c r="F668" s="37"/>
      <c r="G668" s="37"/>
      <c r="H668" s="37"/>
      <c r="I668" s="37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>
      <c r="A669" s="1"/>
      <c r="B669" s="37"/>
      <c r="C669" s="37"/>
      <c r="D669" s="37"/>
      <c r="E669" s="37"/>
      <c r="F669" s="37"/>
      <c r="G669" s="37"/>
      <c r="H669" s="37"/>
      <c r="I669" s="37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>
      <c r="A670" s="1"/>
      <c r="B670" s="37"/>
      <c r="C670" s="37"/>
      <c r="D670" s="37"/>
      <c r="E670" s="37"/>
      <c r="F670" s="37"/>
      <c r="G670" s="37"/>
      <c r="H670" s="37"/>
      <c r="I670" s="37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>
      <c r="A671" s="1"/>
      <c r="B671" s="37"/>
      <c r="C671" s="37"/>
      <c r="D671" s="37"/>
      <c r="E671" s="37"/>
      <c r="F671" s="37"/>
      <c r="G671" s="37"/>
      <c r="H671" s="37"/>
      <c r="I671" s="37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>
      <c r="A672" s="1"/>
      <c r="B672" s="37"/>
      <c r="C672" s="37"/>
      <c r="D672" s="37"/>
      <c r="E672" s="37"/>
      <c r="F672" s="37"/>
      <c r="G672" s="37"/>
      <c r="H672" s="37"/>
      <c r="I672" s="37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>
      <c r="A673" s="1"/>
      <c r="B673" s="37"/>
      <c r="C673" s="37"/>
      <c r="D673" s="37"/>
      <c r="E673" s="37"/>
      <c r="F673" s="37"/>
      <c r="G673" s="37"/>
      <c r="H673" s="37"/>
      <c r="I673" s="37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>
      <c r="A674" s="1"/>
      <c r="B674" s="37"/>
      <c r="C674" s="37"/>
      <c r="D674" s="37"/>
      <c r="E674" s="37"/>
      <c r="F674" s="37"/>
      <c r="G674" s="37"/>
      <c r="H674" s="37"/>
      <c r="I674" s="37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>
      <c r="A675" s="1"/>
      <c r="B675" s="37"/>
      <c r="C675" s="37"/>
      <c r="D675" s="37"/>
      <c r="E675" s="37"/>
      <c r="F675" s="37"/>
      <c r="G675" s="37"/>
      <c r="H675" s="37"/>
      <c r="I675" s="37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>
      <c r="A676" s="1"/>
      <c r="B676" s="37"/>
      <c r="C676" s="37"/>
      <c r="D676" s="37"/>
      <c r="E676" s="37"/>
      <c r="F676" s="37"/>
      <c r="G676" s="37"/>
      <c r="H676" s="37"/>
      <c r="I676" s="37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>
      <c r="A677" s="1"/>
      <c r="B677" s="37"/>
      <c r="C677" s="37"/>
      <c r="D677" s="37"/>
      <c r="E677" s="37"/>
      <c r="F677" s="37"/>
      <c r="G677" s="37"/>
      <c r="H677" s="37"/>
      <c r="I677" s="37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>
      <c r="A678" s="1"/>
      <c r="B678" s="37"/>
      <c r="C678" s="37"/>
      <c r="D678" s="37"/>
      <c r="E678" s="37"/>
      <c r="F678" s="37"/>
      <c r="G678" s="37"/>
      <c r="H678" s="37"/>
      <c r="I678" s="37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>
      <c r="A679" s="1"/>
      <c r="B679" s="37"/>
      <c r="C679" s="37"/>
      <c r="D679" s="37"/>
      <c r="E679" s="37"/>
      <c r="F679" s="37"/>
      <c r="G679" s="37"/>
      <c r="H679" s="37"/>
      <c r="I679" s="37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>
      <c r="A680" s="1"/>
      <c r="B680" s="37"/>
      <c r="C680" s="37"/>
      <c r="D680" s="37"/>
      <c r="E680" s="37"/>
      <c r="F680" s="37"/>
      <c r="G680" s="37"/>
      <c r="H680" s="37"/>
      <c r="I680" s="37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>
      <c r="A681" s="1"/>
      <c r="B681" s="37"/>
      <c r="C681" s="37"/>
      <c r="D681" s="37"/>
      <c r="E681" s="37"/>
      <c r="F681" s="37"/>
      <c r="G681" s="37"/>
      <c r="H681" s="37"/>
      <c r="I681" s="37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>
      <c r="A682" s="1"/>
      <c r="B682" s="37"/>
      <c r="C682" s="37"/>
      <c r="D682" s="37"/>
      <c r="E682" s="37"/>
      <c r="F682" s="37"/>
      <c r="G682" s="37"/>
      <c r="H682" s="37"/>
      <c r="I682" s="37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>
      <c r="A683" s="1"/>
      <c r="B683" s="37"/>
      <c r="C683" s="37"/>
      <c r="D683" s="37"/>
      <c r="E683" s="37"/>
      <c r="F683" s="37"/>
      <c r="G683" s="37"/>
      <c r="H683" s="37"/>
      <c r="I683" s="37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>
      <c r="A684" s="1"/>
      <c r="B684" s="37"/>
      <c r="C684" s="37"/>
      <c r="D684" s="37"/>
      <c r="E684" s="37"/>
      <c r="F684" s="37"/>
      <c r="G684" s="37"/>
      <c r="H684" s="37"/>
      <c r="I684" s="37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>
      <c r="A685" s="1"/>
      <c r="B685" s="37"/>
      <c r="C685" s="37"/>
      <c r="D685" s="37"/>
      <c r="E685" s="37"/>
      <c r="F685" s="37"/>
      <c r="G685" s="37"/>
      <c r="H685" s="37"/>
      <c r="I685" s="37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>
      <c r="A686" s="1"/>
      <c r="B686" s="37"/>
      <c r="C686" s="37"/>
      <c r="D686" s="37"/>
      <c r="E686" s="37"/>
      <c r="F686" s="37"/>
      <c r="G686" s="37"/>
      <c r="H686" s="37"/>
      <c r="I686" s="37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>
      <c r="A687" s="1"/>
      <c r="B687" s="37"/>
      <c r="C687" s="37"/>
      <c r="D687" s="37"/>
      <c r="E687" s="37"/>
      <c r="F687" s="37"/>
      <c r="G687" s="37"/>
      <c r="H687" s="37"/>
      <c r="I687" s="37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>
      <c r="A688" s="1"/>
      <c r="B688" s="37"/>
      <c r="C688" s="37"/>
      <c r="D688" s="37"/>
      <c r="E688" s="37"/>
      <c r="F688" s="37"/>
      <c r="G688" s="37"/>
      <c r="H688" s="37"/>
      <c r="I688" s="37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>
      <c r="A689" s="1"/>
      <c r="B689" s="37"/>
      <c r="C689" s="37"/>
      <c r="D689" s="37"/>
      <c r="E689" s="37"/>
      <c r="F689" s="37"/>
      <c r="G689" s="37"/>
      <c r="H689" s="37"/>
      <c r="I689" s="37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>
      <c r="A690" s="1"/>
      <c r="B690" s="37"/>
      <c r="C690" s="37"/>
      <c r="D690" s="37"/>
      <c r="E690" s="37"/>
      <c r="F690" s="37"/>
      <c r="G690" s="37"/>
      <c r="H690" s="37"/>
      <c r="I690" s="37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>
      <c r="A691" s="1"/>
      <c r="B691" s="37"/>
      <c r="C691" s="37"/>
      <c r="D691" s="37"/>
      <c r="E691" s="37"/>
      <c r="F691" s="37"/>
      <c r="G691" s="37"/>
      <c r="H691" s="37"/>
      <c r="I691" s="37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>
      <c r="A692" s="1"/>
      <c r="B692" s="37"/>
      <c r="C692" s="37"/>
      <c r="D692" s="37"/>
      <c r="E692" s="37"/>
      <c r="F692" s="37"/>
      <c r="G692" s="37"/>
      <c r="H692" s="37"/>
      <c r="I692" s="37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>
      <c r="A693" s="1"/>
      <c r="B693" s="37"/>
      <c r="C693" s="37"/>
      <c r="D693" s="37"/>
      <c r="E693" s="37"/>
      <c r="F693" s="37"/>
      <c r="G693" s="37"/>
      <c r="H693" s="37"/>
      <c r="I693" s="37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>
      <c r="A694" s="1"/>
      <c r="B694" s="37"/>
      <c r="C694" s="37"/>
      <c r="D694" s="37"/>
      <c r="E694" s="37"/>
      <c r="F694" s="37"/>
      <c r="G694" s="37"/>
      <c r="H694" s="37"/>
      <c r="I694" s="37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>
      <c r="A695" s="1"/>
      <c r="B695" s="37"/>
      <c r="C695" s="37"/>
      <c r="D695" s="37"/>
      <c r="E695" s="37"/>
      <c r="F695" s="37"/>
      <c r="G695" s="37"/>
      <c r="H695" s="37"/>
      <c r="I695" s="37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>
      <c r="A696" s="1"/>
      <c r="B696" s="37"/>
      <c r="C696" s="37"/>
      <c r="D696" s="37"/>
      <c r="E696" s="37"/>
      <c r="F696" s="37"/>
      <c r="G696" s="37"/>
      <c r="H696" s="37"/>
      <c r="I696" s="37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>
      <c r="A697" s="1"/>
      <c r="B697" s="37"/>
      <c r="C697" s="37"/>
      <c r="D697" s="37"/>
      <c r="E697" s="37"/>
      <c r="F697" s="37"/>
      <c r="G697" s="37"/>
      <c r="H697" s="37"/>
      <c r="I697" s="37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>
      <c r="A698" s="1"/>
      <c r="B698" s="37"/>
      <c r="C698" s="37"/>
      <c r="D698" s="37"/>
      <c r="E698" s="37"/>
      <c r="F698" s="37"/>
      <c r="G698" s="37"/>
      <c r="H698" s="37"/>
      <c r="I698" s="37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>
      <c r="A699" s="1"/>
      <c r="B699" s="37"/>
      <c r="C699" s="37"/>
      <c r="D699" s="37"/>
      <c r="E699" s="37"/>
      <c r="F699" s="37"/>
      <c r="G699" s="37"/>
      <c r="H699" s="37"/>
      <c r="I699" s="37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>
      <c r="A700" s="1"/>
      <c r="B700" s="37"/>
      <c r="C700" s="37"/>
      <c r="D700" s="37"/>
      <c r="E700" s="37"/>
      <c r="F700" s="37"/>
      <c r="G700" s="37"/>
      <c r="H700" s="37"/>
      <c r="I700" s="37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>
      <c r="A701" s="1"/>
      <c r="B701" s="37"/>
      <c r="C701" s="37"/>
      <c r="D701" s="37"/>
      <c r="E701" s="37"/>
      <c r="F701" s="37"/>
      <c r="G701" s="37"/>
      <c r="H701" s="37"/>
      <c r="I701" s="37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>
      <c r="A702" s="1"/>
      <c r="B702" s="37"/>
      <c r="C702" s="37"/>
      <c r="D702" s="37"/>
      <c r="E702" s="37"/>
      <c r="F702" s="37"/>
      <c r="G702" s="37"/>
      <c r="H702" s="37"/>
      <c r="I702" s="37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>
      <c r="A703" s="1"/>
      <c r="B703" s="37"/>
      <c r="C703" s="37"/>
      <c r="D703" s="37"/>
      <c r="E703" s="37"/>
      <c r="F703" s="37"/>
      <c r="G703" s="37"/>
      <c r="H703" s="37"/>
      <c r="I703" s="37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>
      <c r="A704" s="1"/>
      <c r="B704" s="37"/>
      <c r="C704" s="37"/>
      <c r="D704" s="37"/>
      <c r="E704" s="37"/>
      <c r="F704" s="37"/>
      <c r="G704" s="37"/>
      <c r="H704" s="37"/>
      <c r="I704" s="37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>
      <c r="A705" s="1"/>
      <c r="B705" s="37"/>
      <c r="C705" s="37"/>
      <c r="D705" s="37"/>
      <c r="E705" s="37"/>
      <c r="F705" s="37"/>
      <c r="G705" s="37"/>
      <c r="H705" s="37"/>
      <c r="I705" s="37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>
      <c r="A706" s="1"/>
      <c r="B706" s="37"/>
      <c r="C706" s="37"/>
      <c r="D706" s="37"/>
      <c r="E706" s="37"/>
      <c r="F706" s="37"/>
      <c r="G706" s="37"/>
      <c r="H706" s="37"/>
      <c r="I706" s="37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>
      <c r="A707" s="1"/>
      <c r="B707" s="37"/>
      <c r="C707" s="37"/>
      <c r="D707" s="37"/>
      <c r="E707" s="37"/>
      <c r="F707" s="37"/>
      <c r="G707" s="37"/>
      <c r="H707" s="37"/>
      <c r="I707" s="37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>
      <c r="A708" s="1"/>
      <c r="B708" s="37"/>
      <c r="C708" s="37"/>
      <c r="D708" s="37"/>
      <c r="E708" s="37"/>
      <c r="F708" s="37"/>
      <c r="G708" s="37"/>
      <c r="H708" s="37"/>
      <c r="I708" s="37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>
      <c r="A709" s="1"/>
      <c r="B709" s="37"/>
      <c r="C709" s="37"/>
      <c r="D709" s="37"/>
      <c r="E709" s="37"/>
      <c r="F709" s="37"/>
      <c r="G709" s="37"/>
      <c r="H709" s="37"/>
      <c r="I709" s="37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>
      <c r="A710" s="1"/>
      <c r="B710" s="37"/>
      <c r="C710" s="37"/>
      <c r="D710" s="37"/>
      <c r="E710" s="37"/>
      <c r="F710" s="37"/>
      <c r="G710" s="37"/>
      <c r="H710" s="37"/>
      <c r="I710" s="37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>
      <c r="A711" s="1"/>
      <c r="B711" s="37"/>
      <c r="C711" s="37"/>
      <c r="D711" s="37"/>
      <c r="E711" s="37"/>
      <c r="F711" s="37"/>
      <c r="G711" s="37"/>
      <c r="H711" s="37"/>
      <c r="I711" s="37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>
      <c r="A712" s="1"/>
      <c r="B712" s="37"/>
      <c r="C712" s="37"/>
      <c r="D712" s="37"/>
      <c r="E712" s="37"/>
      <c r="F712" s="37"/>
      <c r="G712" s="37"/>
      <c r="H712" s="37"/>
      <c r="I712" s="37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>
      <c r="A713" s="1"/>
      <c r="B713" s="37"/>
      <c r="C713" s="37"/>
      <c r="D713" s="37"/>
      <c r="E713" s="37"/>
      <c r="F713" s="37"/>
      <c r="G713" s="37"/>
      <c r="H713" s="37"/>
      <c r="I713" s="37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>
      <c r="A714" s="1"/>
      <c r="B714" s="37"/>
      <c r="C714" s="37"/>
      <c r="D714" s="37"/>
      <c r="E714" s="37"/>
      <c r="F714" s="37"/>
      <c r="G714" s="37"/>
      <c r="H714" s="37"/>
      <c r="I714" s="37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>
      <c r="A715" s="1"/>
      <c r="B715" s="37"/>
      <c r="C715" s="37"/>
      <c r="D715" s="37"/>
      <c r="E715" s="37"/>
      <c r="F715" s="37"/>
      <c r="G715" s="37"/>
      <c r="H715" s="37"/>
      <c r="I715" s="37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>
      <c r="A716" s="1"/>
      <c r="B716" s="37"/>
      <c r="C716" s="37"/>
      <c r="D716" s="37"/>
      <c r="E716" s="37"/>
      <c r="F716" s="37"/>
      <c r="G716" s="37"/>
      <c r="H716" s="37"/>
      <c r="I716" s="37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>
      <c r="A717" s="1"/>
      <c r="B717" s="37"/>
      <c r="C717" s="37"/>
      <c r="D717" s="37"/>
      <c r="E717" s="37"/>
      <c r="F717" s="37"/>
      <c r="G717" s="37"/>
      <c r="H717" s="37"/>
      <c r="I717" s="37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>
      <c r="A718" s="1"/>
      <c r="B718" s="37"/>
      <c r="C718" s="37"/>
      <c r="D718" s="37"/>
      <c r="E718" s="37"/>
      <c r="F718" s="37"/>
      <c r="G718" s="37"/>
      <c r="H718" s="37"/>
      <c r="I718" s="37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>
      <c r="A719" s="1"/>
      <c r="B719" s="37"/>
      <c r="C719" s="37"/>
      <c r="D719" s="37"/>
      <c r="E719" s="37"/>
      <c r="F719" s="37"/>
      <c r="G719" s="37"/>
      <c r="H719" s="37"/>
      <c r="I719" s="37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>
      <c r="A720" s="1"/>
      <c r="B720" s="37"/>
      <c r="C720" s="37"/>
      <c r="D720" s="37"/>
      <c r="E720" s="37"/>
      <c r="F720" s="37"/>
      <c r="G720" s="37"/>
      <c r="H720" s="37"/>
      <c r="I720" s="37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>
      <c r="A721" s="1"/>
      <c r="B721" s="37"/>
      <c r="C721" s="37"/>
      <c r="D721" s="37"/>
      <c r="E721" s="37"/>
      <c r="F721" s="37"/>
      <c r="G721" s="37"/>
      <c r="H721" s="37"/>
      <c r="I721" s="37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>
      <c r="A722" s="1"/>
      <c r="B722" s="37"/>
      <c r="C722" s="37"/>
      <c r="D722" s="37"/>
      <c r="E722" s="37"/>
      <c r="F722" s="37"/>
      <c r="G722" s="37"/>
      <c r="H722" s="37"/>
      <c r="I722" s="37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>
      <c r="A723" s="1"/>
      <c r="B723" s="37"/>
      <c r="C723" s="37"/>
      <c r="D723" s="37"/>
      <c r="E723" s="37"/>
      <c r="F723" s="37"/>
      <c r="G723" s="37"/>
      <c r="H723" s="37"/>
      <c r="I723" s="37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>
      <c r="A724" s="1"/>
      <c r="B724" s="37"/>
      <c r="C724" s="37"/>
      <c r="D724" s="37"/>
      <c r="E724" s="37"/>
      <c r="F724" s="37"/>
      <c r="G724" s="37"/>
      <c r="H724" s="37"/>
      <c r="I724" s="37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>
      <c r="A725" s="1"/>
      <c r="B725" s="37"/>
      <c r="C725" s="37"/>
      <c r="D725" s="37"/>
      <c r="E725" s="37"/>
      <c r="F725" s="37"/>
      <c r="G725" s="37"/>
      <c r="H725" s="37"/>
      <c r="I725" s="37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>
      <c r="A726" s="1"/>
      <c r="B726" s="37"/>
      <c r="C726" s="37"/>
      <c r="D726" s="37"/>
      <c r="E726" s="37"/>
      <c r="F726" s="37"/>
      <c r="G726" s="37"/>
      <c r="H726" s="37"/>
      <c r="I726" s="37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>
      <c r="A727" s="1"/>
      <c r="B727" s="37"/>
      <c r="C727" s="37"/>
      <c r="D727" s="37"/>
      <c r="E727" s="37"/>
      <c r="F727" s="37"/>
      <c r="G727" s="37"/>
      <c r="H727" s="37"/>
      <c r="I727" s="37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>
      <c r="A728" s="1"/>
      <c r="B728" s="37"/>
      <c r="C728" s="37"/>
      <c r="D728" s="37"/>
      <c r="E728" s="37"/>
      <c r="F728" s="37"/>
      <c r="G728" s="37"/>
      <c r="H728" s="37"/>
      <c r="I728" s="37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>
      <c r="A729" s="1"/>
      <c r="B729" s="37"/>
      <c r="C729" s="37"/>
      <c r="D729" s="37"/>
      <c r="E729" s="37"/>
      <c r="F729" s="37"/>
      <c r="G729" s="37"/>
      <c r="H729" s="37"/>
      <c r="I729" s="37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>
      <c r="A730" s="1"/>
      <c r="B730" s="37"/>
      <c r="C730" s="37"/>
      <c r="D730" s="37"/>
      <c r="E730" s="37"/>
      <c r="F730" s="37"/>
      <c r="G730" s="37"/>
      <c r="H730" s="37"/>
      <c r="I730" s="37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>
      <c r="A731" s="1"/>
      <c r="B731" s="37"/>
      <c r="C731" s="37"/>
      <c r="D731" s="37"/>
      <c r="E731" s="37"/>
      <c r="F731" s="37"/>
      <c r="G731" s="37"/>
      <c r="H731" s="37"/>
      <c r="I731" s="37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>
      <c r="A732" s="1"/>
      <c r="B732" s="37"/>
      <c r="C732" s="37"/>
      <c r="D732" s="37"/>
      <c r="E732" s="37"/>
      <c r="F732" s="37"/>
      <c r="G732" s="37"/>
      <c r="H732" s="37"/>
      <c r="I732" s="37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>
      <c r="A733" s="1"/>
      <c r="B733" s="37"/>
      <c r="C733" s="37"/>
      <c r="D733" s="37"/>
      <c r="E733" s="37"/>
      <c r="F733" s="37"/>
      <c r="G733" s="37"/>
      <c r="H733" s="37"/>
      <c r="I733" s="37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>
      <c r="A734" s="1"/>
      <c r="B734" s="37"/>
      <c r="C734" s="37"/>
      <c r="D734" s="37"/>
      <c r="E734" s="37"/>
      <c r="F734" s="37"/>
      <c r="G734" s="37"/>
      <c r="H734" s="37"/>
      <c r="I734" s="37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>
      <c r="A735" s="1"/>
      <c r="B735" s="37"/>
      <c r="C735" s="37"/>
      <c r="D735" s="37"/>
      <c r="E735" s="37"/>
      <c r="F735" s="37"/>
      <c r="G735" s="37"/>
      <c r="H735" s="37"/>
      <c r="I735" s="37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>
      <c r="A736" s="1"/>
      <c r="B736" s="37"/>
      <c r="C736" s="37"/>
      <c r="D736" s="37"/>
      <c r="E736" s="37"/>
      <c r="F736" s="37"/>
      <c r="G736" s="37"/>
      <c r="H736" s="37"/>
      <c r="I736" s="37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>
      <c r="A737" s="1"/>
      <c r="B737" s="37"/>
      <c r="C737" s="37"/>
      <c r="D737" s="37"/>
      <c r="E737" s="37"/>
      <c r="F737" s="37"/>
      <c r="G737" s="37"/>
      <c r="H737" s="37"/>
      <c r="I737" s="37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>
      <c r="A738" s="1"/>
      <c r="B738" s="37"/>
      <c r="C738" s="37"/>
      <c r="D738" s="37"/>
      <c r="E738" s="37"/>
      <c r="F738" s="37"/>
      <c r="G738" s="37"/>
      <c r="H738" s="37"/>
      <c r="I738" s="37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>
      <c r="A739" s="1"/>
      <c r="B739" s="37"/>
      <c r="C739" s="37"/>
      <c r="D739" s="37"/>
      <c r="E739" s="37"/>
      <c r="F739" s="37"/>
      <c r="G739" s="37"/>
      <c r="H739" s="37"/>
      <c r="I739" s="37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>
      <c r="A740" s="1"/>
      <c r="B740" s="37"/>
      <c r="C740" s="37"/>
      <c r="D740" s="37"/>
      <c r="E740" s="37"/>
      <c r="F740" s="37"/>
      <c r="G740" s="37"/>
      <c r="H740" s="37"/>
      <c r="I740" s="37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>
      <c r="A741" s="1"/>
      <c r="B741" s="37"/>
      <c r="C741" s="37"/>
      <c r="D741" s="37"/>
      <c r="E741" s="37"/>
      <c r="F741" s="37"/>
      <c r="G741" s="37"/>
      <c r="H741" s="37"/>
      <c r="I741" s="37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>
      <c r="A742" s="1"/>
      <c r="B742" s="37"/>
      <c r="C742" s="37"/>
      <c r="D742" s="37"/>
      <c r="E742" s="37"/>
      <c r="F742" s="37"/>
      <c r="G742" s="37"/>
      <c r="H742" s="37"/>
      <c r="I742" s="37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>
      <c r="A743" s="1"/>
      <c r="B743" s="37"/>
      <c r="C743" s="37"/>
      <c r="D743" s="37"/>
      <c r="E743" s="37"/>
      <c r="F743" s="37"/>
      <c r="G743" s="37"/>
      <c r="H743" s="37"/>
      <c r="I743" s="37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>
      <c r="A744" s="1"/>
      <c r="B744" s="37"/>
      <c r="C744" s="37"/>
      <c r="D744" s="37"/>
      <c r="E744" s="37"/>
      <c r="F744" s="37"/>
      <c r="G744" s="37"/>
      <c r="H744" s="37"/>
      <c r="I744" s="37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>
      <c r="A745" s="1"/>
      <c r="B745" s="37"/>
      <c r="C745" s="37"/>
      <c r="D745" s="37"/>
      <c r="E745" s="37"/>
      <c r="F745" s="37"/>
      <c r="G745" s="37"/>
      <c r="H745" s="37"/>
      <c r="I745" s="37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>
      <c r="A746" s="1"/>
      <c r="B746" s="37"/>
      <c r="C746" s="37"/>
      <c r="D746" s="37"/>
      <c r="E746" s="37"/>
      <c r="F746" s="37"/>
      <c r="G746" s="37"/>
      <c r="H746" s="37"/>
      <c r="I746" s="37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>
      <c r="A747" s="1"/>
      <c r="B747" s="37"/>
      <c r="C747" s="37"/>
      <c r="D747" s="37"/>
      <c r="E747" s="37"/>
      <c r="F747" s="37"/>
      <c r="G747" s="37"/>
      <c r="H747" s="37"/>
      <c r="I747" s="37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>
      <c r="A748" s="1"/>
      <c r="B748" s="37"/>
      <c r="C748" s="37"/>
      <c r="D748" s="37"/>
      <c r="E748" s="37"/>
      <c r="F748" s="37"/>
      <c r="G748" s="37"/>
      <c r="H748" s="37"/>
      <c r="I748" s="37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>
      <c r="A749" s="1"/>
      <c r="B749" s="37"/>
      <c r="C749" s="37"/>
      <c r="D749" s="37"/>
      <c r="E749" s="37"/>
      <c r="F749" s="37"/>
      <c r="G749" s="37"/>
      <c r="H749" s="37"/>
      <c r="I749" s="37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>
      <c r="A750" s="1"/>
      <c r="B750" s="37"/>
      <c r="C750" s="37"/>
      <c r="D750" s="37"/>
      <c r="E750" s="37"/>
      <c r="F750" s="37"/>
      <c r="G750" s="37"/>
      <c r="H750" s="37"/>
      <c r="I750" s="37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>
      <c r="A751" s="1"/>
      <c r="B751" s="37"/>
      <c r="C751" s="37"/>
      <c r="D751" s="37"/>
      <c r="E751" s="37"/>
      <c r="F751" s="37"/>
      <c r="G751" s="37"/>
      <c r="H751" s="37"/>
      <c r="I751" s="37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>
      <c r="A752" s="1"/>
      <c r="B752" s="37"/>
      <c r="C752" s="37"/>
      <c r="D752" s="37"/>
      <c r="E752" s="37"/>
      <c r="F752" s="37"/>
      <c r="G752" s="37"/>
      <c r="H752" s="37"/>
      <c r="I752" s="37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>
      <c r="A753" s="1"/>
      <c r="B753" s="37"/>
      <c r="C753" s="37"/>
      <c r="D753" s="37"/>
      <c r="E753" s="37"/>
      <c r="F753" s="37"/>
      <c r="G753" s="37"/>
      <c r="H753" s="37"/>
      <c r="I753" s="37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>
      <c r="A754" s="1"/>
      <c r="B754" s="37"/>
      <c r="C754" s="37"/>
      <c r="D754" s="37"/>
      <c r="E754" s="37"/>
      <c r="F754" s="37"/>
      <c r="G754" s="37"/>
      <c r="H754" s="37"/>
      <c r="I754" s="37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>
      <c r="A755" s="1"/>
      <c r="B755" s="37"/>
      <c r="C755" s="37"/>
      <c r="D755" s="37"/>
      <c r="E755" s="37"/>
      <c r="F755" s="37"/>
      <c r="G755" s="37"/>
      <c r="H755" s="37"/>
      <c r="I755" s="37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>
      <c r="A756" s="1"/>
      <c r="B756" s="37"/>
      <c r="C756" s="37"/>
      <c r="D756" s="37"/>
      <c r="E756" s="37"/>
      <c r="F756" s="37"/>
      <c r="G756" s="37"/>
      <c r="H756" s="37"/>
      <c r="I756" s="37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>
      <c r="A757" s="1"/>
      <c r="B757" s="37"/>
      <c r="C757" s="37"/>
      <c r="D757" s="37"/>
      <c r="E757" s="37"/>
      <c r="F757" s="37"/>
      <c r="G757" s="37"/>
      <c r="H757" s="37"/>
      <c r="I757" s="37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>
      <c r="A758" s="1"/>
      <c r="B758" s="37"/>
      <c r="C758" s="37"/>
      <c r="D758" s="37"/>
      <c r="E758" s="37"/>
      <c r="F758" s="37"/>
      <c r="G758" s="37"/>
      <c r="H758" s="37"/>
      <c r="I758" s="37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>
      <c r="A759" s="1"/>
      <c r="B759" s="37"/>
      <c r="C759" s="37"/>
      <c r="D759" s="37"/>
      <c r="E759" s="37"/>
      <c r="F759" s="37"/>
      <c r="G759" s="37"/>
      <c r="H759" s="37"/>
      <c r="I759" s="37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>
      <c r="A760" s="1"/>
      <c r="B760" s="37"/>
      <c r="C760" s="37"/>
      <c r="D760" s="37"/>
      <c r="E760" s="37"/>
      <c r="F760" s="37"/>
      <c r="G760" s="37"/>
      <c r="H760" s="37"/>
      <c r="I760" s="37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>
      <c r="A761" s="1"/>
      <c r="B761" s="37"/>
      <c r="C761" s="37"/>
      <c r="D761" s="37"/>
      <c r="E761" s="37"/>
      <c r="F761" s="37"/>
      <c r="G761" s="37"/>
      <c r="H761" s="37"/>
      <c r="I761" s="37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>
      <c r="A762" s="1"/>
      <c r="B762" s="37"/>
      <c r="C762" s="37"/>
      <c r="D762" s="37"/>
      <c r="E762" s="37"/>
      <c r="F762" s="37"/>
      <c r="G762" s="37"/>
      <c r="H762" s="37"/>
      <c r="I762" s="37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>
      <c r="A763" s="1"/>
      <c r="B763" s="37"/>
      <c r="C763" s="37"/>
      <c r="D763" s="37"/>
      <c r="E763" s="37"/>
      <c r="F763" s="37"/>
      <c r="G763" s="37"/>
      <c r="H763" s="37"/>
      <c r="I763" s="37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>
      <c r="A764" s="1"/>
      <c r="B764" s="37"/>
      <c r="C764" s="37"/>
      <c r="D764" s="37"/>
      <c r="E764" s="37"/>
      <c r="F764" s="37"/>
      <c r="G764" s="37"/>
      <c r="H764" s="37"/>
      <c r="I764" s="37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>
      <c r="A765" s="1"/>
      <c r="B765" s="37"/>
      <c r="C765" s="37"/>
      <c r="D765" s="37"/>
      <c r="E765" s="37"/>
      <c r="F765" s="37"/>
      <c r="G765" s="37"/>
      <c r="H765" s="37"/>
      <c r="I765" s="37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>
      <c r="A766" s="1"/>
      <c r="B766" s="37"/>
      <c r="C766" s="37"/>
      <c r="D766" s="37"/>
      <c r="E766" s="37"/>
      <c r="F766" s="37"/>
      <c r="G766" s="37"/>
      <c r="H766" s="37"/>
      <c r="I766" s="37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>
      <c r="A767" s="1"/>
      <c r="B767" s="37"/>
      <c r="C767" s="37"/>
      <c r="D767" s="37"/>
      <c r="E767" s="37"/>
      <c r="F767" s="37"/>
      <c r="G767" s="37"/>
      <c r="H767" s="37"/>
      <c r="I767" s="37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>
      <c r="A768" s="1"/>
      <c r="B768" s="37"/>
      <c r="C768" s="37"/>
      <c r="D768" s="37"/>
      <c r="E768" s="37"/>
      <c r="F768" s="37"/>
      <c r="G768" s="37"/>
      <c r="H768" s="37"/>
      <c r="I768" s="37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>
      <c r="A769" s="1"/>
      <c r="B769" s="37"/>
      <c r="C769" s="37"/>
      <c r="D769" s="37"/>
      <c r="E769" s="37"/>
      <c r="F769" s="37"/>
      <c r="G769" s="37"/>
      <c r="H769" s="37"/>
      <c r="I769" s="37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>
      <c r="A770" s="1"/>
      <c r="B770" s="37"/>
      <c r="C770" s="37"/>
      <c r="D770" s="37"/>
      <c r="E770" s="37"/>
      <c r="F770" s="37"/>
      <c r="G770" s="37"/>
      <c r="H770" s="37"/>
      <c r="I770" s="37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>
      <c r="A771" s="1"/>
      <c r="B771" s="37"/>
      <c r="C771" s="37"/>
      <c r="D771" s="37"/>
      <c r="E771" s="37"/>
      <c r="F771" s="37"/>
      <c r="G771" s="37"/>
      <c r="H771" s="37"/>
      <c r="I771" s="37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>
      <c r="A772" s="1"/>
      <c r="B772" s="37"/>
      <c r="C772" s="37"/>
      <c r="D772" s="37"/>
      <c r="E772" s="37"/>
      <c r="F772" s="37"/>
      <c r="G772" s="37"/>
      <c r="H772" s="37"/>
      <c r="I772" s="37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>
      <c r="A773" s="1"/>
      <c r="B773" s="37"/>
      <c r="C773" s="37"/>
      <c r="D773" s="37"/>
      <c r="E773" s="37"/>
      <c r="F773" s="37"/>
      <c r="G773" s="37"/>
      <c r="H773" s="37"/>
      <c r="I773" s="37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>
      <c r="A774" s="1"/>
      <c r="B774" s="37"/>
      <c r="C774" s="37"/>
      <c r="D774" s="37"/>
      <c r="E774" s="37"/>
      <c r="F774" s="37"/>
      <c r="G774" s="37"/>
      <c r="H774" s="37"/>
      <c r="I774" s="37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>
      <c r="A775" s="1"/>
      <c r="B775" s="37"/>
      <c r="C775" s="37"/>
      <c r="D775" s="37"/>
      <c r="E775" s="37"/>
      <c r="F775" s="37"/>
      <c r="G775" s="37"/>
      <c r="H775" s="37"/>
      <c r="I775" s="37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>
      <c r="A776" s="1"/>
      <c r="B776" s="37"/>
      <c r="C776" s="37"/>
      <c r="D776" s="37"/>
      <c r="E776" s="37"/>
      <c r="F776" s="37"/>
      <c r="G776" s="37"/>
      <c r="H776" s="37"/>
      <c r="I776" s="37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>
      <c r="A777" s="1"/>
      <c r="B777" s="37"/>
      <c r="C777" s="37"/>
      <c r="D777" s="37"/>
      <c r="E777" s="37"/>
      <c r="F777" s="37"/>
      <c r="G777" s="37"/>
      <c r="H777" s="37"/>
      <c r="I777" s="37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>
      <c r="A778" s="1"/>
      <c r="B778" s="37"/>
      <c r="C778" s="37"/>
      <c r="D778" s="37"/>
      <c r="E778" s="37"/>
      <c r="F778" s="37"/>
      <c r="G778" s="37"/>
      <c r="H778" s="37"/>
      <c r="I778" s="37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>
      <c r="A779" s="1"/>
      <c r="B779" s="37"/>
      <c r="C779" s="37"/>
      <c r="D779" s="37"/>
      <c r="E779" s="37"/>
      <c r="F779" s="37"/>
      <c r="G779" s="37"/>
      <c r="H779" s="37"/>
      <c r="I779" s="37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>
      <c r="A780" s="1"/>
      <c r="B780" s="37"/>
      <c r="C780" s="37"/>
      <c r="D780" s="37"/>
      <c r="E780" s="37"/>
      <c r="F780" s="37"/>
      <c r="G780" s="37"/>
      <c r="H780" s="37"/>
      <c r="I780" s="37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>
      <c r="A781" s="1"/>
      <c r="B781" s="37"/>
      <c r="C781" s="37"/>
      <c r="D781" s="37"/>
      <c r="E781" s="37"/>
      <c r="F781" s="37"/>
      <c r="G781" s="37"/>
      <c r="H781" s="37"/>
      <c r="I781" s="37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>
      <c r="A782" s="1"/>
      <c r="B782" s="37"/>
      <c r="C782" s="37"/>
      <c r="D782" s="37"/>
      <c r="E782" s="37"/>
      <c r="F782" s="37"/>
      <c r="G782" s="37"/>
      <c r="H782" s="37"/>
      <c r="I782" s="37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>
      <c r="A783" s="1"/>
      <c r="B783" s="37"/>
      <c r="C783" s="37"/>
      <c r="D783" s="37"/>
      <c r="E783" s="37"/>
      <c r="F783" s="37"/>
      <c r="G783" s="37"/>
      <c r="H783" s="37"/>
      <c r="I783" s="37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>
      <c r="A784" s="1"/>
      <c r="B784" s="37"/>
      <c r="C784" s="37"/>
      <c r="D784" s="37"/>
      <c r="E784" s="37"/>
      <c r="F784" s="37"/>
      <c r="G784" s="37"/>
      <c r="H784" s="37"/>
      <c r="I784" s="37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>
      <c r="A785" s="1"/>
      <c r="B785" s="37"/>
      <c r="C785" s="37"/>
      <c r="D785" s="37"/>
      <c r="E785" s="37"/>
      <c r="F785" s="37"/>
      <c r="G785" s="37"/>
      <c r="H785" s="37"/>
      <c r="I785" s="37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>
      <c r="A786" s="1"/>
      <c r="B786" s="37"/>
      <c r="C786" s="37"/>
      <c r="D786" s="37"/>
      <c r="E786" s="37"/>
      <c r="F786" s="37"/>
      <c r="G786" s="37"/>
      <c r="H786" s="37"/>
      <c r="I786" s="37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>
      <c r="A787" s="1"/>
      <c r="B787" s="37"/>
      <c r="C787" s="37"/>
      <c r="D787" s="37"/>
      <c r="E787" s="37"/>
      <c r="F787" s="37"/>
      <c r="G787" s="37"/>
      <c r="H787" s="37"/>
      <c r="I787" s="37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>
      <c r="A788" s="1"/>
      <c r="B788" s="37"/>
      <c r="C788" s="37"/>
      <c r="D788" s="37"/>
      <c r="E788" s="37"/>
      <c r="F788" s="37"/>
      <c r="G788" s="37"/>
      <c r="H788" s="37"/>
      <c r="I788" s="37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>
      <c r="A789" s="1"/>
      <c r="B789" s="37"/>
      <c r="C789" s="37"/>
      <c r="D789" s="37"/>
      <c r="E789" s="37"/>
      <c r="F789" s="37"/>
      <c r="G789" s="37"/>
      <c r="H789" s="37"/>
      <c r="I789" s="37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>
      <c r="A790" s="1"/>
      <c r="B790" s="37"/>
      <c r="C790" s="37"/>
      <c r="D790" s="37"/>
      <c r="E790" s="37"/>
      <c r="F790" s="37"/>
      <c r="G790" s="37"/>
      <c r="H790" s="37"/>
      <c r="I790" s="37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>
      <c r="A791" s="1"/>
      <c r="B791" s="37"/>
      <c r="C791" s="37"/>
      <c r="D791" s="37"/>
      <c r="E791" s="37"/>
      <c r="F791" s="37"/>
      <c r="G791" s="37"/>
      <c r="H791" s="37"/>
      <c r="I791" s="37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>
      <c r="A792" s="1"/>
      <c r="B792" s="37"/>
      <c r="C792" s="37"/>
      <c r="D792" s="37"/>
      <c r="E792" s="37"/>
      <c r="F792" s="37"/>
      <c r="G792" s="37"/>
      <c r="H792" s="37"/>
      <c r="I792" s="37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>
      <c r="A793" s="1"/>
      <c r="B793" s="37"/>
      <c r="C793" s="37"/>
      <c r="D793" s="37"/>
      <c r="E793" s="37"/>
      <c r="F793" s="37"/>
      <c r="G793" s="37"/>
      <c r="H793" s="37"/>
      <c r="I793" s="37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>
      <c r="A794" s="1"/>
      <c r="B794" s="37"/>
      <c r="C794" s="37"/>
      <c r="D794" s="37"/>
      <c r="E794" s="37"/>
      <c r="F794" s="37"/>
      <c r="G794" s="37"/>
      <c r="H794" s="37"/>
      <c r="I794" s="37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>
      <c r="A795" s="1"/>
      <c r="B795" s="37"/>
      <c r="C795" s="37"/>
      <c r="D795" s="37"/>
      <c r="E795" s="37"/>
      <c r="F795" s="37"/>
      <c r="G795" s="37"/>
      <c r="H795" s="37"/>
      <c r="I795" s="37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>
      <c r="A796" s="1"/>
      <c r="B796" s="37"/>
      <c r="C796" s="37"/>
      <c r="D796" s="37"/>
      <c r="E796" s="37"/>
      <c r="F796" s="37"/>
      <c r="G796" s="37"/>
      <c r="H796" s="37"/>
      <c r="I796" s="37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>
      <c r="A797" s="1"/>
      <c r="B797" s="37"/>
      <c r="C797" s="37"/>
      <c r="D797" s="37"/>
      <c r="E797" s="37"/>
      <c r="F797" s="37"/>
      <c r="G797" s="37"/>
      <c r="H797" s="37"/>
      <c r="I797" s="37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>
      <c r="A798" s="1"/>
      <c r="B798" s="37"/>
      <c r="C798" s="37"/>
      <c r="D798" s="37"/>
      <c r="E798" s="37"/>
      <c r="F798" s="37"/>
      <c r="G798" s="37"/>
      <c r="H798" s="37"/>
      <c r="I798" s="37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>
      <c r="A799" s="1"/>
      <c r="B799" s="37"/>
      <c r="C799" s="37"/>
      <c r="D799" s="37"/>
      <c r="E799" s="37"/>
      <c r="F799" s="37"/>
      <c r="G799" s="37"/>
      <c r="H799" s="37"/>
      <c r="I799" s="37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>
      <c r="A800" s="1"/>
      <c r="B800" s="37"/>
      <c r="C800" s="37"/>
      <c r="D800" s="37"/>
      <c r="E800" s="37"/>
      <c r="F800" s="37"/>
      <c r="G800" s="37"/>
      <c r="H800" s="37"/>
      <c r="I800" s="37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>
      <c r="A801" s="1"/>
      <c r="B801" s="37"/>
      <c r="C801" s="37"/>
      <c r="D801" s="37"/>
      <c r="E801" s="37"/>
      <c r="F801" s="37"/>
      <c r="G801" s="37"/>
      <c r="H801" s="37"/>
      <c r="I801" s="37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>
      <c r="A802" s="1"/>
      <c r="B802" s="37"/>
      <c r="C802" s="37"/>
      <c r="D802" s="37"/>
      <c r="E802" s="37"/>
      <c r="F802" s="37"/>
      <c r="G802" s="37"/>
      <c r="H802" s="37"/>
      <c r="I802" s="37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>
      <c r="A803" s="1"/>
      <c r="B803" s="37"/>
      <c r="C803" s="37"/>
      <c r="D803" s="37"/>
      <c r="E803" s="37"/>
      <c r="F803" s="37"/>
      <c r="G803" s="37"/>
      <c r="H803" s="37"/>
      <c r="I803" s="37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>
      <c r="A804" s="1"/>
      <c r="B804" s="37"/>
      <c r="C804" s="37"/>
      <c r="D804" s="37"/>
      <c r="E804" s="37"/>
      <c r="F804" s="37"/>
      <c r="G804" s="37"/>
      <c r="H804" s="37"/>
      <c r="I804" s="37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>
      <c r="A805" s="1"/>
      <c r="B805" s="37"/>
      <c r="C805" s="37"/>
      <c r="D805" s="37"/>
      <c r="E805" s="37"/>
      <c r="F805" s="37"/>
      <c r="G805" s="37"/>
      <c r="H805" s="37"/>
      <c r="I805" s="37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>
      <c r="A806" s="1"/>
      <c r="B806" s="37"/>
      <c r="C806" s="37"/>
      <c r="D806" s="37"/>
      <c r="E806" s="37"/>
      <c r="F806" s="37"/>
      <c r="G806" s="37"/>
      <c r="H806" s="37"/>
      <c r="I806" s="37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>
      <c r="A807" s="1"/>
      <c r="B807" s="37"/>
      <c r="C807" s="37"/>
      <c r="D807" s="37"/>
      <c r="E807" s="37"/>
      <c r="F807" s="37"/>
      <c r="G807" s="37"/>
      <c r="H807" s="37"/>
      <c r="I807" s="37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>
      <c r="A808" s="1"/>
      <c r="B808" s="37"/>
      <c r="C808" s="37"/>
      <c r="D808" s="37"/>
      <c r="E808" s="37"/>
      <c r="F808" s="37"/>
      <c r="G808" s="37"/>
      <c r="H808" s="37"/>
      <c r="I808" s="37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>
      <c r="A809" s="1"/>
      <c r="B809" s="37"/>
      <c r="C809" s="37"/>
      <c r="D809" s="37"/>
      <c r="E809" s="37"/>
      <c r="F809" s="37"/>
      <c r="G809" s="37"/>
      <c r="H809" s="37"/>
      <c r="I809" s="37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>
      <c r="A810" s="1"/>
      <c r="B810" s="37"/>
      <c r="C810" s="37"/>
      <c r="D810" s="37"/>
      <c r="E810" s="37"/>
      <c r="F810" s="37"/>
      <c r="G810" s="37"/>
      <c r="H810" s="37"/>
      <c r="I810" s="37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>
      <c r="A811" s="1"/>
      <c r="B811" s="37"/>
      <c r="C811" s="37"/>
      <c r="D811" s="37"/>
      <c r="E811" s="37"/>
      <c r="F811" s="37"/>
      <c r="G811" s="37"/>
      <c r="H811" s="37"/>
      <c r="I811" s="37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>
      <c r="A812" s="1"/>
      <c r="B812" s="37"/>
      <c r="C812" s="37"/>
      <c r="D812" s="37"/>
      <c r="E812" s="37"/>
      <c r="F812" s="37"/>
      <c r="G812" s="37"/>
      <c r="H812" s="37"/>
      <c r="I812" s="37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>
      <c r="A813" s="1"/>
      <c r="B813" s="37"/>
      <c r="C813" s="37"/>
      <c r="D813" s="37"/>
      <c r="E813" s="37"/>
      <c r="F813" s="37"/>
      <c r="G813" s="37"/>
      <c r="H813" s="37"/>
      <c r="I813" s="37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>
      <c r="A814" s="1"/>
      <c r="B814" s="37"/>
      <c r="C814" s="37"/>
      <c r="D814" s="37"/>
      <c r="E814" s="37"/>
      <c r="F814" s="37"/>
      <c r="G814" s="37"/>
      <c r="H814" s="37"/>
      <c r="I814" s="37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>
      <c r="A815" s="1"/>
      <c r="B815" s="37"/>
      <c r="C815" s="37"/>
      <c r="D815" s="37"/>
      <c r="E815" s="37"/>
      <c r="F815" s="37"/>
      <c r="G815" s="37"/>
      <c r="H815" s="37"/>
      <c r="I815" s="37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>
      <c r="A816" s="1"/>
      <c r="B816" s="37"/>
      <c r="C816" s="37"/>
      <c r="D816" s="37"/>
      <c r="E816" s="37"/>
      <c r="F816" s="37"/>
      <c r="G816" s="37"/>
      <c r="H816" s="37"/>
      <c r="I816" s="37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>
      <c r="A817" s="1"/>
      <c r="B817" s="37"/>
      <c r="C817" s="37"/>
      <c r="D817" s="37"/>
      <c r="E817" s="37"/>
      <c r="F817" s="37"/>
      <c r="G817" s="37"/>
      <c r="H817" s="37"/>
      <c r="I817" s="37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>
      <c r="A818" s="1"/>
      <c r="B818" s="37"/>
      <c r="C818" s="37"/>
      <c r="D818" s="37"/>
      <c r="E818" s="37"/>
      <c r="F818" s="37"/>
      <c r="G818" s="37"/>
      <c r="H818" s="37"/>
      <c r="I818" s="37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>
      <c r="A819" s="1"/>
      <c r="B819" s="37"/>
      <c r="C819" s="37"/>
      <c r="D819" s="37"/>
      <c r="E819" s="37"/>
      <c r="F819" s="37"/>
      <c r="G819" s="37"/>
      <c r="H819" s="37"/>
      <c r="I819" s="37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>
      <c r="A820" s="1"/>
      <c r="B820" s="37"/>
      <c r="C820" s="37"/>
      <c r="D820" s="37"/>
      <c r="E820" s="37"/>
      <c r="F820" s="37"/>
      <c r="G820" s="37"/>
      <c r="H820" s="37"/>
      <c r="I820" s="37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>
      <c r="A821" s="1"/>
      <c r="B821" s="37"/>
      <c r="C821" s="37"/>
      <c r="D821" s="37"/>
      <c r="E821" s="37"/>
      <c r="F821" s="37"/>
      <c r="G821" s="37"/>
      <c r="H821" s="37"/>
      <c r="I821" s="37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>
      <c r="A822" s="1"/>
      <c r="B822" s="37"/>
      <c r="C822" s="37"/>
      <c r="D822" s="37"/>
      <c r="E822" s="37"/>
      <c r="F822" s="37"/>
      <c r="G822" s="37"/>
      <c r="H822" s="37"/>
      <c r="I822" s="37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>
      <c r="A823" s="1"/>
      <c r="B823" s="37"/>
      <c r="C823" s="37"/>
      <c r="D823" s="37"/>
      <c r="E823" s="37"/>
      <c r="F823" s="37"/>
      <c r="G823" s="37"/>
      <c r="H823" s="37"/>
      <c r="I823" s="37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>
      <c r="A824" s="1"/>
      <c r="B824" s="37"/>
      <c r="C824" s="37"/>
      <c r="D824" s="37"/>
      <c r="E824" s="37"/>
      <c r="F824" s="37"/>
      <c r="G824" s="37"/>
      <c r="H824" s="37"/>
      <c r="I824" s="37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>
      <c r="A825" s="1"/>
      <c r="B825" s="37"/>
      <c r="C825" s="37"/>
      <c r="D825" s="37"/>
      <c r="E825" s="37"/>
      <c r="F825" s="37"/>
      <c r="G825" s="37"/>
      <c r="H825" s="37"/>
      <c r="I825" s="37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>
      <c r="A826" s="1"/>
      <c r="B826" s="37"/>
      <c r="C826" s="37"/>
      <c r="D826" s="37"/>
      <c r="E826" s="37"/>
      <c r="F826" s="37"/>
      <c r="G826" s="37"/>
      <c r="H826" s="37"/>
      <c r="I826" s="37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>
      <c r="A827" s="1"/>
      <c r="B827" s="37"/>
      <c r="C827" s="37"/>
      <c r="D827" s="37"/>
      <c r="E827" s="37"/>
      <c r="F827" s="37"/>
      <c r="G827" s="37"/>
      <c r="H827" s="37"/>
      <c r="I827" s="37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>
      <c r="A828" s="1"/>
      <c r="B828" s="37"/>
      <c r="C828" s="37"/>
      <c r="D828" s="37"/>
      <c r="E828" s="37"/>
      <c r="F828" s="37"/>
      <c r="G828" s="37"/>
      <c r="H828" s="37"/>
      <c r="I828" s="37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>
      <c r="A829" s="1"/>
      <c r="B829" s="37"/>
      <c r="C829" s="37"/>
      <c r="D829" s="37"/>
      <c r="E829" s="37"/>
      <c r="F829" s="37"/>
      <c r="G829" s="37"/>
      <c r="H829" s="37"/>
      <c r="I829" s="37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>
      <c r="A830" s="1"/>
      <c r="B830" s="37"/>
      <c r="C830" s="37"/>
      <c r="D830" s="37"/>
      <c r="E830" s="37"/>
      <c r="F830" s="37"/>
      <c r="G830" s="37"/>
      <c r="H830" s="37"/>
      <c r="I830" s="37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>
      <c r="A831" s="1"/>
      <c r="B831" s="37"/>
      <c r="C831" s="37"/>
      <c r="D831" s="37"/>
      <c r="E831" s="37"/>
      <c r="F831" s="37"/>
      <c r="G831" s="37"/>
      <c r="H831" s="37"/>
      <c r="I831" s="37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>
      <c r="A832" s="1"/>
      <c r="B832" s="37"/>
      <c r="C832" s="37"/>
      <c r="D832" s="37"/>
      <c r="E832" s="37"/>
      <c r="F832" s="37"/>
      <c r="G832" s="37"/>
      <c r="H832" s="37"/>
      <c r="I832" s="37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>
      <c r="A833" s="1"/>
      <c r="B833" s="37"/>
      <c r="C833" s="37"/>
      <c r="D833" s="37"/>
      <c r="E833" s="37"/>
      <c r="F833" s="37"/>
      <c r="G833" s="37"/>
      <c r="H833" s="37"/>
      <c r="I833" s="37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>
      <c r="A834" s="1"/>
      <c r="B834" s="37"/>
      <c r="C834" s="37"/>
      <c r="D834" s="37"/>
      <c r="E834" s="37"/>
      <c r="F834" s="37"/>
      <c r="G834" s="37"/>
      <c r="H834" s="37"/>
      <c r="I834" s="37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>
      <c r="A835" s="1"/>
      <c r="B835" s="37"/>
      <c r="C835" s="37"/>
      <c r="D835" s="37"/>
      <c r="E835" s="37"/>
      <c r="F835" s="37"/>
      <c r="G835" s="37"/>
      <c r="H835" s="37"/>
      <c r="I835" s="37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>
      <c r="A836" s="1"/>
      <c r="B836" s="37"/>
      <c r="C836" s="37"/>
      <c r="D836" s="37"/>
      <c r="E836" s="37"/>
      <c r="F836" s="37"/>
      <c r="G836" s="37"/>
      <c r="H836" s="37"/>
      <c r="I836" s="37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>
      <c r="A837" s="1"/>
      <c r="B837" s="37"/>
      <c r="C837" s="37"/>
      <c r="D837" s="37"/>
      <c r="E837" s="37"/>
      <c r="F837" s="37"/>
      <c r="G837" s="37"/>
      <c r="H837" s="37"/>
      <c r="I837" s="37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>
      <c r="A838" s="1"/>
      <c r="B838" s="37"/>
      <c r="C838" s="37"/>
      <c r="D838" s="37"/>
      <c r="E838" s="37"/>
      <c r="F838" s="37"/>
      <c r="G838" s="37"/>
      <c r="H838" s="37"/>
      <c r="I838" s="37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>
      <c r="A839" s="1"/>
      <c r="B839" s="37"/>
      <c r="C839" s="37"/>
      <c r="D839" s="37"/>
      <c r="E839" s="37"/>
      <c r="F839" s="37"/>
      <c r="G839" s="37"/>
      <c r="H839" s="37"/>
      <c r="I839" s="37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>
      <c r="A840" s="1"/>
      <c r="B840" s="37"/>
      <c r="C840" s="37"/>
      <c r="D840" s="37"/>
      <c r="E840" s="37"/>
      <c r="F840" s="37"/>
      <c r="G840" s="37"/>
      <c r="H840" s="37"/>
      <c r="I840" s="37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>
      <c r="A841" s="1"/>
      <c r="B841" s="37"/>
      <c r="C841" s="37"/>
      <c r="D841" s="37"/>
      <c r="E841" s="37"/>
      <c r="F841" s="37"/>
      <c r="G841" s="37"/>
      <c r="H841" s="37"/>
      <c r="I841" s="37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>
      <c r="A842" s="1"/>
      <c r="B842" s="37"/>
      <c r="C842" s="37"/>
      <c r="D842" s="37"/>
      <c r="E842" s="37"/>
      <c r="F842" s="37"/>
      <c r="G842" s="37"/>
      <c r="H842" s="37"/>
      <c r="I842" s="37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>
      <c r="A843" s="1"/>
      <c r="B843" s="37"/>
      <c r="C843" s="37"/>
      <c r="D843" s="37"/>
      <c r="E843" s="37"/>
      <c r="F843" s="37"/>
      <c r="G843" s="37"/>
      <c r="H843" s="37"/>
      <c r="I843" s="37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>
      <c r="A844" s="1"/>
      <c r="B844" s="37"/>
      <c r="C844" s="37"/>
      <c r="D844" s="37"/>
      <c r="E844" s="37"/>
      <c r="F844" s="37"/>
      <c r="G844" s="37"/>
      <c r="H844" s="37"/>
      <c r="I844" s="37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>
      <c r="A845" s="1"/>
      <c r="B845" s="37"/>
      <c r="C845" s="37"/>
      <c r="D845" s="37"/>
      <c r="E845" s="37"/>
      <c r="F845" s="37"/>
      <c r="G845" s="37"/>
      <c r="H845" s="37"/>
      <c r="I845" s="37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>
      <c r="A846" s="1"/>
      <c r="B846" s="37"/>
      <c r="C846" s="37"/>
      <c r="D846" s="37"/>
      <c r="E846" s="37"/>
      <c r="F846" s="37"/>
      <c r="G846" s="37"/>
      <c r="H846" s="37"/>
      <c r="I846" s="37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>
      <c r="A847" s="1"/>
      <c r="B847" s="37"/>
      <c r="C847" s="37"/>
      <c r="D847" s="37"/>
      <c r="E847" s="37"/>
      <c r="F847" s="37"/>
      <c r="G847" s="37"/>
      <c r="H847" s="37"/>
      <c r="I847" s="37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>
      <c r="A848" s="1"/>
      <c r="B848" s="37"/>
      <c r="C848" s="37"/>
      <c r="D848" s="37"/>
      <c r="E848" s="37"/>
      <c r="F848" s="37"/>
      <c r="G848" s="37"/>
      <c r="H848" s="37"/>
      <c r="I848" s="37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>
      <c r="A849" s="1"/>
      <c r="B849" s="37"/>
      <c r="C849" s="37"/>
      <c r="D849" s="37"/>
      <c r="E849" s="37"/>
      <c r="F849" s="37"/>
      <c r="G849" s="37"/>
      <c r="H849" s="37"/>
      <c r="I849" s="37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>
      <c r="A850" s="1"/>
      <c r="B850" s="37"/>
      <c r="C850" s="37"/>
      <c r="D850" s="37"/>
      <c r="E850" s="37"/>
      <c r="F850" s="37"/>
      <c r="G850" s="37"/>
      <c r="H850" s="37"/>
      <c r="I850" s="37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>
      <c r="A851" s="1"/>
      <c r="B851" s="37"/>
      <c r="C851" s="37"/>
      <c r="D851" s="37"/>
      <c r="E851" s="37"/>
      <c r="F851" s="37"/>
      <c r="G851" s="37"/>
      <c r="H851" s="37"/>
      <c r="I851" s="37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>
      <c r="A852" s="1"/>
      <c r="B852" s="37"/>
      <c r="C852" s="37"/>
      <c r="D852" s="37"/>
      <c r="E852" s="37"/>
      <c r="F852" s="37"/>
      <c r="G852" s="37"/>
      <c r="H852" s="37"/>
      <c r="I852" s="37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>
      <c r="A853" s="1"/>
      <c r="B853" s="37"/>
      <c r="C853" s="37"/>
      <c r="D853" s="37"/>
      <c r="E853" s="37"/>
      <c r="F853" s="37"/>
      <c r="G853" s="37"/>
      <c r="H853" s="37"/>
      <c r="I853" s="37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>
      <c r="A854" s="1"/>
      <c r="B854" s="37"/>
      <c r="C854" s="37"/>
      <c r="D854" s="37"/>
      <c r="E854" s="37"/>
      <c r="F854" s="37"/>
      <c r="G854" s="37"/>
      <c r="H854" s="37"/>
      <c r="I854" s="37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>
      <c r="A855" s="1"/>
      <c r="B855" s="37"/>
      <c r="C855" s="37"/>
      <c r="D855" s="37"/>
      <c r="E855" s="37"/>
      <c r="F855" s="37"/>
      <c r="G855" s="37"/>
      <c r="H855" s="37"/>
      <c r="I855" s="37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>
      <c r="A856" s="1"/>
      <c r="B856" s="37"/>
      <c r="C856" s="37"/>
      <c r="D856" s="37"/>
      <c r="E856" s="37"/>
      <c r="F856" s="37"/>
      <c r="G856" s="37"/>
      <c r="H856" s="37"/>
      <c r="I856" s="37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>
      <c r="A857" s="1"/>
      <c r="B857" s="37"/>
      <c r="C857" s="37"/>
      <c r="D857" s="37"/>
      <c r="E857" s="37"/>
      <c r="F857" s="37"/>
      <c r="G857" s="37"/>
      <c r="H857" s="37"/>
      <c r="I857" s="37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>
      <c r="A858" s="1"/>
      <c r="B858" s="37"/>
      <c r="C858" s="37"/>
      <c r="D858" s="37"/>
      <c r="E858" s="37"/>
      <c r="F858" s="37"/>
      <c r="G858" s="37"/>
      <c r="H858" s="37"/>
      <c r="I858" s="37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>
      <c r="A859" s="1"/>
      <c r="B859" s="37"/>
      <c r="C859" s="37"/>
      <c r="D859" s="37"/>
      <c r="E859" s="37"/>
      <c r="F859" s="37"/>
      <c r="G859" s="37"/>
      <c r="H859" s="37"/>
      <c r="I859" s="37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>
      <c r="A860" s="1"/>
      <c r="B860" s="37"/>
      <c r="C860" s="37"/>
      <c r="D860" s="37"/>
      <c r="E860" s="37"/>
      <c r="F860" s="37"/>
      <c r="G860" s="37"/>
      <c r="H860" s="37"/>
      <c r="I860" s="37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>
      <c r="A861" s="1"/>
      <c r="B861" s="37"/>
      <c r="C861" s="37"/>
      <c r="D861" s="37"/>
      <c r="E861" s="37"/>
      <c r="F861" s="37"/>
      <c r="G861" s="37"/>
      <c r="H861" s="37"/>
      <c r="I861" s="37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>
      <c r="A862" s="1"/>
      <c r="B862" s="37"/>
      <c r="C862" s="37"/>
      <c r="D862" s="37"/>
      <c r="E862" s="37"/>
      <c r="F862" s="37"/>
      <c r="G862" s="37"/>
      <c r="H862" s="37"/>
      <c r="I862" s="37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>
      <c r="A863" s="1"/>
      <c r="B863" s="37"/>
      <c r="C863" s="37"/>
      <c r="D863" s="37"/>
      <c r="E863" s="37"/>
      <c r="F863" s="37"/>
      <c r="G863" s="37"/>
      <c r="H863" s="37"/>
      <c r="I863" s="37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>
      <c r="A864" s="1"/>
      <c r="B864" s="37"/>
      <c r="C864" s="37"/>
      <c r="D864" s="37"/>
      <c r="E864" s="37"/>
      <c r="F864" s="37"/>
      <c r="G864" s="37"/>
      <c r="H864" s="37"/>
      <c r="I864" s="37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>
      <c r="A865" s="1"/>
      <c r="B865" s="37"/>
      <c r="C865" s="37"/>
      <c r="D865" s="37"/>
      <c r="E865" s="37"/>
      <c r="F865" s="37"/>
      <c r="G865" s="37"/>
      <c r="H865" s="37"/>
      <c r="I865" s="37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>
      <c r="A866" s="1"/>
      <c r="B866" s="37"/>
      <c r="C866" s="37"/>
      <c r="D866" s="37"/>
      <c r="E866" s="37"/>
      <c r="F866" s="37"/>
      <c r="G866" s="37"/>
      <c r="H866" s="37"/>
      <c r="I866" s="37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>
      <c r="A867" s="1"/>
      <c r="B867" s="37"/>
      <c r="C867" s="37"/>
      <c r="D867" s="37"/>
      <c r="E867" s="37"/>
      <c r="F867" s="37"/>
      <c r="G867" s="37"/>
      <c r="H867" s="37"/>
      <c r="I867" s="37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>
      <c r="A868" s="1"/>
      <c r="B868" s="37"/>
      <c r="C868" s="37"/>
      <c r="D868" s="37"/>
      <c r="E868" s="37"/>
      <c r="F868" s="37"/>
      <c r="G868" s="37"/>
      <c r="H868" s="37"/>
      <c r="I868" s="37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>
      <c r="A869" s="1"/>
      <c r="B869" s="37"/>
      <c r="C869" s="37"/>
      <c r="D869" s="37"/>
      <c r="E869" s="37"/>
      <c r="F869" s="37"/>
      <c r="G869" s="37"/>
      <c r="H869" s="37"/>
      <c r="I869" s="37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>
      <c r="A870" s="1"/>
      <c r="B870" s="37"/>
      <c r="C870" s="37"/>
      <c r="D870" s="37"/>
      <c r="E870" s="37"/>
      <c r="F870" s="37"/>
      <c r="G870" s="37"/>
      <c r="H870" s="37"/>
      <c r="I870" s="37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>
      <c r="A871" s="1"/>
      <c r="B871" s="37"/>
      <c r="C871" s="37"/>
      <c r="D871" s="37"/>
      <c r="E871" s="37"/>
      <c r="F871" s="37"/>
      <c r="G871" s="37"/>
      <c r="H871" s="37"/>
      <c r="I871" s="37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>
      <c r="A872" s="1"/>
      <c r="B872" s="37"/>
      <c r="C872" s="37"/>
      <c r="D872" s="37"/>
      <c r="E872" s="37"/>
      <c r="F872" s="37"/>
      <c r="G872" s="37"/>
      <c r="H872" s="37"/>
      <c r="I872" s="37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>
      <c r="A873" s="1"/>
      <c r="B873" s="37"/>
      <c r="C873" s="37"/>
      <c r="D873" s="37"/>
      <c r="E873" s="37"/>
      <c r="F873" s="37"/>
      <c r="G873" s="37"/>
      <c r="H873" s="37"/>
      <c r="I873" s="37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>
      <c r="A874" s="1"/>
      <c r="B874" s="37"/>
      <c r="C874" s="37"/>
      <c r="D874" s="37"/>
      <c r="E874" s="37"/>
      <c r="F874" s="37"/>
      <c r="G874" s="37"/>
      <c r="H874" s="37"/>
      <c r="I874" s="37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>
      <c r="A875" s="1"/>
      <c r="B875" s="37"/>
      <c r="C875" s="37"/>
      <c r="D875" s="37"/>
      <c r="E875" s="37"/>
      <c r="F875" s="37"/>
      <c r="G875" s="37"/>
      <c r="H875" s="37"/>
      <c r="I875" s="37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>
      <c r="A876" s="1"/>
      <c r="B876" s="37"/>
      <c r="C876" s="37"/>
      <c r="D876" s="37"/>
      <c r="E876" s="37"/>
      <c r="F876" s="37"/>
      <c r="G876" s="37"/>
      <c r="H876" s="37"/>
      <c r="I876" s="37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>
      <c r="A877" s="1"/>
      <c r="B877" s="37"/>
      <c r="C877" s="37"/>
      <c r="D877" s="37"/>
      <c r="E877" s="37"/>
      <c r="F877" s="37"/>
      <c r="G877" s="37"/>
      <c r="H877" s="37"/>
      <c r="I877" s="37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>
      <c r="A878" s="1"/>
      <c r="B878" s="37"/>
      <c r="C878" s="37"/>
      <c r="D878" s="37"/>
      <c r="E878" s="37"/>
      <c r="F878" s="37"/>
      <c r="G878" s="37"/>
      <c r="H878" s="37"/>
      <c r="I878" s="37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>
      <c r="A879" s="1"/>
      <c r="B879" s="37"/>
      <c r="C879" s="37"/>
      <c r="D879" s="37"/>
      <c r="E879" s="37"/>
      <c r="F879" s="37"/>
      <c r="G879" s="37"/>
      <c r="H879" s="37"/>
      <c r="I879" s="37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>
      <c r="A880" s="1"/>
      <c r="B880" s="37"/>
      <c r="C880" s="37"/>
      <c r="D880" s="37"/>
      <c r="E880" s="37"/>
      <c r="F880" s="37"/>
      <c r="G880" s="37"/>
      <c r="H880" s="37"/>
      <c r="I880" s="37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>
      <c r="A881" s="1"/>
      <c r="B881" s="37"/>
      <c r="C881" s="37"/>
      <c r="D881" s="37"/>
      <c r="E881" s="37"/>
      <c r="F881" s="37"/>
      <c r="G881" s="37"/>
      <c r="H881" s="37"/>
      <c r="I881" s="37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>
      <c r="A882" s="1"/>
      <c r="B882" s="37"/>
      <c r="C882" s="37"/>
      <c r="D882" s="37"/>
      <c r="E882" s="37"/>
      <c r="F882" s="37"/>
      <c r="G882" s="37"/>
      <c r="H882" s="37"/>
      <c r="I882" s="37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>
      <c r="A883" s="1"/>
      <c r="B883" s="37"/>
      <c r="C883" s="37"/>
      <c r="D883" s="37"/>
      <c r="E883" s="37"/>
      <c r="F883" s="37"/>
      <c r="G883" s="37"/>
      <c r="H883" s="37"/>
      <c r="I883" s="37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>
      <c r="A884" s="1"/>
      <c r="B884" s="37"/>
      <c r="C884" s="37"/>
      <c r="D884" s="37"/>
      <c r="E884" s="37"/>
      <c r="F884" s="37"/>
      <c r="G884" s="37"/>
      <c r="H884" s="37"/>
      <c r="I884" s="37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>
      <c r="A885" s="1"/>
      <c r="B885" s="37"/>
      <c r="C885" s="37"/>
      <c r="D885" s="37"/>
      <c r="E885" s="37"/>
      <c r="F885" s="37"/>
      <c r="G885" s="37"/>
      <c r="H885" s="37"/>
      <c r="I885" s="37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>
      <c r="A886" s="1"/>
      <c r="B886" s="37"/>
      <c r="C886" s="37"/>
      <c r="D886" s="37"/>
      <c r="E886" s="37"/>
      <c r="F886" s="37"/>
      <c r="G886" s="37"/>
      <c r="H886" s="37"/>
      <c r="I886" s="37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>
      <c r="A887" s="1"/>
      <c r="B887" s="37"/>
      <c r="C887" s="37"/>
      <c r="D887" s="37"/>
      <c r="E887" s="37"/>
      <c r="F887" s="37"/>
      <c r="G887" s="37"/>
      <c r="H887" s="37"/>
      <c r="I887" s="37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>
      <c r="A888" s="1"/>
      <c r="B888" s="37"/>
      <c r="C888" s="37"/>
      <c r="D888" s="37"/>
      <c r="E888" s="37"/>
      <c r="F888" s="37"/>
      <c r="G888" s="37"/>
      <c r="H888" s="37"/>
      <c r="I888" s="37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>
      <c r="A889" s="1"/>
      <c r="B889" s="37"/>
      <c r="C889" s="37"/>
      <c r="D889" s="37"/>
      <c r="E889" s="37"/>
      <c r="F889" s="37"/>
      <c r="G889" s="37"/>
      <c r="H889" s="37"/>
      <c r="I889" s="37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>
      <c r="A890" s="1"/>
      <c r="B890" s="37"/>
      <c r="C890" s="37"/>
      <c r="D890" s="37"/>
      <c r="E890" s="37"/>
      <c r="F890" s="37"/>
      <c r="G890" s="37"/>
      <c r="H890" s="37"/>
      <c r="I890" s="37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>
      <c r="A891" s="1"/>
      <c r="B891" s="37"/>
      <c r="C891" s="37"/>
      <c r="D891" s="37"/>
      <c r="E891" s="37"/>
      <c r="F891" s="37"/>
      <c r="G891" s="37"/>
      <c r="H891" s="37"/>
      <c r="I891" s="37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>
      <c r="A892" s="1"/>
      <c r="B892" s="37"/>
      <c r="C892" s="37"/>
      <c r="D892" s="37"/>
      <c r="E892" s="37"/>
      <c r="F892" s="37"/>
      <c r="G892" s="37"/>
      <c r="H892" s="37"/>
      <c r="I892" s="37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>
      <c r="A893" s="1"/>
      <c r="B893" s="37"/>
      <c r="C893" s="37"/>
      <c r="D893" s="37"/>
      <c r="E893" s="37"/>
      <c r="F893" s="37"/>
      <c r="G893" s="37"/>
      <c r="H893" s="37"/>
      <c r="I893" s="37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>
      <c r="A894" s="1"/>
      <c r="B894" s="37"/>
      <c r="C894" s="37"/>
      <c r="D894" s="37"/>
      <c r="E894" s="37"/>
      <c r="F894" s="37"/>
      <c r="G894" s="37"/>
      <c r="H894" s="37"/>
      <c r="I894" s="37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>
      <c r="A895" s="1"/>
      <c r="B895" s="37"/>
      <c r="C895" s="37"/>
      <c r="D895" s="37"/>
      <c r="E895" s="37"/>
      <c r="F895" s="37"/>
      <c r="G895" s="37"/>
      <c r="H895" s="37"/>
      <c r="I895" s="37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>
      <c r="A896" s="1"/>
      <c r="B896" s="37"/>
      <c r="C896" s="37"/>
      <c r="D896" s="37"/>
      <c r="E896" s="37"/>
      <c r="F896" s="37"/>
      <c r="G896" s="37"/>
      <c r="H896" s="37"/>
      <c r="I896" s="37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>
      <c r="A897" s="1"/>
      <c r="B897" s="37"/>
      <c r="C897" s="37"/>
      <c r="D897" s="37"/>
      <c r="E897" s="37"/>
      <c r="F897" s="37"/>
      <c r="G897" s="37"/>
      <c r="H897" s="37"/>
      <c r="I897" s="37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>
      <c r="A898" s="1"/>
      <c r="B898" s="37"/>
      <c r="C898" s="37"/>
      <c r="D898" s="37"/>
      <c r="E898" s="37"/>
      <c r="F898" s="37"/>
      <c r="G898" s="37"/>
      <c r="H898" s="37"/>
      <c r="I898" s="37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>
      <c r="A899" s="1"/>
      <c r="B899" s="37"/>
      <c r="C899" s="37"/>
      <c r="D899" s="37"/>
      <c r="E899" s="37"/>
      <c r="F899" s="37"/>
      <c r="G899" s="37"/>
      <c r="H899" s="37"/>
      <c r="I899" s="37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>
      <c r="A900" s="1"/>
      <c r="B900" s="37"/>
      <c r="C900" s="37"/>
      <c r="D900" s="37"/>
      <c r="E900" s="37"/>
      <c r="F900" s="37"/>
      <c r="G900" s="37"/>
      <c r="H900" s="37"/>
      <c r="I900" s="37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>
      <c r="A901" s="1"/>
      <c r="B901" s="37"/>
      <c r="C901" s="37"/>
      <c r="D901" s="37"/>
      <c r="E901" s="37"/>
      <c r="F901" s="37"/>
      <c r="G901" s="37"/>
      <c r="H901" s="37"/>
      <c r="I901" s="37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>
      <c r="A902" s="1"/>
      <c r="B902" s="37"/>
      <c r="C902" s="37"/>
      <c r="D902" s="37"/>
      <c r="E902" s="37"/>
      <c r="F902" s="37"/>
      <c r="G902" s="37"/>
      <c r="H902" s="37"/>
      <c r="I902" s="37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>
      <c r="A903" s="1"/>
      <c r="B903" s="37"/>
      <c r="C903" s="37"/>
      <c r="D903" s="37"/>
      <c r="E903" s="37"/>
      <c r="F903" s="37"/>
      <c r="G903" s="37"/>
      <c r="H903" s="37"/>
      <c r="I903" s="37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>
      <c r="A904" s="1"/>
      <c r="B904" s="37"/>
      <c r="C904" s="37"/>
      <c r="D904" s="37"/>
      <c r="E904" s="37"/>
      <c r="F904" s="37"/>
      <c r="G904" s="37"/>
      <c r="H904" s="37"/>
      <c r="I904" s="37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>
      <c r="A905" s="1"/>
      <c r="B905" s="37"/>
      <c r="C905" s="37"/>
      <c r="D905" s="37"/>
      <c r="E905" s="37"/>
      <c r="F905" s="37"/>
      <c r="G905" s="37"/>
      <c r="H905" s="37"/>
      <c r="I905" s="37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>
      <c r="A906" s="1"/>
      <c r="B906" s="37"/>
      <c r="C906" s="37"/>
      <c r="D906" s="37"/>
      <c r="E906" s="37"/>
      <c r="F906" s="37"/>
      <c r="G906" s="37"/>
      <c r="H906" s="37"/>
      <c r="I906" s="37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>
      <c r="A907" s="1"/>
      <c r="B907" s="37"/>
      <c r="C907" s="37"/>
      <c r="D907" s="37"/>
      <c r="E907" s="37"/>
      <c r="F907" s="37"/>
      <c r="G907" s="37"/>
      <c r="H907" s="37"/>
      <c r="I907" s="37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>
      <c r="A908" s="1"/>
      <c r="B908" s="37"/>
      <c r="C908" s="37"/>
      <c r="D908" s="37"/>
      <c r="E908" s="37"/>
      <c r="F908" s="37"/>
      <c r="G908" s="37"/>
      <c r="H908" s="37"/>
      <c r="I908" s="37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>
      <c r="A909" s="1"/>
      <c r="B909" s="37"/>
      <c r="C909" s="37"/>
      <c r="D909" s="37"/>
      <c r="E909" s="37"/>
      <c r="F909" s="37"/>
      <c r="G909" s="37"/>
      <c r="H909" s="37"/>
      <c r="I909" s="37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>
      <c r="A910" s="1"/>
      <c r="B910" s="37"/>
      <c r="C910" s="37"/>
      <c r="D910" s="37"/>
      <c r="E910" s="37"/>
      <c r="F910" s="37"/>
      <c r="G910" s="37"/>
      <c r="H910" s="37"/>
      <c r="I910" s="37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>
      <c r="A911" s="1"/>
      <c r="B911" s="37"/>
      <c r="C911" s="37"/>
      <c r="D911" s="37"/>
      <c r="E911" s="37"/>
      <c r="F911" s="37"/>
      <c r="G911" s="37"/>
      <c r="H911" s="37"/>
      <c r="I911" s="37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>
      <c r="A912" s="1"/>
      <c r="B912" s="37"/>
      <c r="C912" s="37"/>
      <c r="D912" s="37"/>
      <c r="E912" s="37"/>
      <c r="F912" s="37"/>
      <c r="G912" s="37"/>
      <c r="H912" s="37"/>
      <c r="I912" s="37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>
      <c r="A913" s="1"/>
      <c r="B913" s="37"/>
      <c r="C913" s="37"/>
      <c r="D913" s="37"/>
      <c r="E913" s="37"/>
      <c r="F913" s="37"/>
      <c r="G913" s="37"/>
      <c r="H913" s="37"/>
      <c r="I913" s="37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>
      <c r="A914" s="1"/>
      <c r="B914" s="37"/>
      <c r="C914" s="37"/>
      <c r="D914" s="37"/>
      <c r="E914" s="37"/>
      <c r="F914" s="37"/>
      <c r="G914" s="37"/>
      <c r="H914" s="37"/>
      <c r="I914" s="37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>
      <c r="A915" s="1"/>
      <c r="B915" s="37"/>
      <c r="C915" s="37"/>
      <c r="D915" s="37"/>
      <c r="E915" s="37"/>
      <c r="F915" s="37"/>
      <c r="G915" s="37"/>
      <c r="H915" s="37"/>
      <c r="I915" s="37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>
      <c r="A916" s="1"/>
      <c r="B916" s="37"/>
      <c r="C916" s="37"/>
      <c r="D916" s="37"/>
      <c r="E916" s="37"/>
      <c r="F916" s="37"/>
      <c r="G916" s="37"/>
      <c r="H916" s="37"/>
      <c r="I916" s="37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>
      <c r="A917" s="1"/>
      <c r="B917" s="37"/>
      <c r="C917" s="37"/>
      <c r="D917" s="37"/>
      <c r="E917" s="37"/>
      <c r="F917" s="37"/>
      <c r="G917" s="37"/>
      <c r="H917" s="37"/>
      <c r="I917" s="37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>
      <c r="A918" s="1"/>
      <c r="B918" s="37"/>
      <c r="C918" s="37"/>
      <c r="D918" s="37"/>
      <c r="E918" s="37"/>
      <c r="F918" s="37"/>
      <c r="G918" s="37"/>
      <c r="H918" s="37"/>
      <c r="I918" s="37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>
      <c r="A919" s="1"/>
      <c r="B919" s="37"/>
      <c r="C919" s="37"/>
      <c r="D919" s="37"/>
      <c r="E919" s="37"/>
      <c r="F919" s="37"/>
      <c r="G919" s="37"/>
      <c r="H919" s="37"/>
      <c r="I919" s="37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>
      <c r="A920" s="1"/>
      <c r="B920" s="37"/>
      <c r="C920" s="37"/>
      <c r="D920" s="37"/>
      <c r="E920" s="37"/>
      <c r="F920" s="37"/>
      <c r="G920" s="37"/>
      <c r="H920" s="37"/>
      <c r="I920" s="37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>
      <c r="A921" s="1"/>
      <c r="B921" s="37"/>
      <c r="C921" s="37"/>
      <c r="D921" s="37"/>
      <c r="E921" s="37"/>
      <c r="F921" s="37"/>
      <c r="G921" s="37"/>
      <c r="H921" s="37"/>
      <c r="I921" s="37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>
      <c r="A922" s="1"/>
      <c r="B922" s="37"/>
      <c r="C922" s="37"/>
      <c r="D922" s="37"/>
      <c r="E922" s="37"/>
      <c r="F922" s="37"/>
      <c r="G922" s="37"/>
      <c r="H922" s="37"/>
      <c r="I922" s="37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>
      <c r="A923" s="1"/>
      <c r="B923" s="37"/>
      <c r="C923" s="37"/>
      <c r="D923" s="37"/>
      <c r="E923" s="37"/>
      <c r="F923" s="37"/>
      <c r="G923" s="37"/>
      <c r="H923" s="37"/>
      <c r="I923" s="37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>
      <c r="A924" s="1"/>
      <c r="B924" s="37"/>
      <c r="C924" s="37"/>
      <c r="D924" s="37"/>
      <c r="E924" s="37"/>
      <c r="F924" s="37"/>
      <c r="G924" s="37"/>
      <c r="H924" s="37"/>
      <c r="I924" s="37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>
      <c r="A925" s="1"/>
      <c r="B925" s="37"/>
      <c r="C925" s="37"/>
      <c r="D925" s="37"/>
      <c r="E925" s="37"/>
      <c r="F925" s="37"/>
      <c r="G925" s="37"/>
      <c r="H925" s="37"/>
      <c r="I925" s="37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>
      <c r="A926" s="1"/>
      <c r="B926" s="37"/>
      <c r="C926" s="37"/>
      <c r="D926" s="37"/>
      <c r="E926" s="37"/>
      <c r="F926" s="37"/>
      <c r="G926" s="37"/>
      <c r="H926" s="37"/>
      <c r="I926" s="37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>
      <c r="A927" s="1"/>
      <c r="B927" s="37"/>
      <c r="C927" s="37"/>
      <c r="D927" s="37"/>
      <c r="E927" s="37"/>
      <c r="F927" s="37"/>
      <c r="G927" s="37"/>
      <c r="H927" s="37"/>
      <c r="I927" s="37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>
      <c r="A928" s="1"/>
      <c r="B928" s="37"/>
      <c r="C928" s="37"/>
      <c r="D928" s="37"/>
      <c r="E928" s="37"/>
      <c r="F928" s="37"/>
      <c r="G928" s="37"/>
      <c r="H928" s="37"/>
      <c r="I928" s="37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>
      <c r="A929" s="1"/>
      <c r="B929" s="37"/>
      <c r="C929" s="37"/>
      <c r="D929" s="37"/>
      <c r="E929" s="37"/>
      <c r="F929" s="37"/>
      <c r="G929" s="37"/>
      <c r="H929" s="37"/>
      <c r="I929" s="37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>
      <c r="A930" s="1"/>
      <c r="B930" s="37"/>
      <c r="C930" s="37"/>
      <c r="D930" s="37"/>
      <c r="E930" s="37"/>
      <c r="F930" s="37"/>
      <c r="G930" s="37"/>
      <c r="H930" s="37"/>
      <c r="I930" s="37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>
      <c r="A931" s="1"/>
      <c r="B931" s="37"/>
      <c r="C931" s="37"/>
      <c r="D931" s="37"/>
      <c r="E931" s="37"/>
      <c r="F931" s="37"/>
      <c r="G931" s="37"/>
      <c r="H931" s="37"/>
      <c r="I931" s="37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>
      <c r="A932" s="1"/>
      <c r="B932" s="37"/>
      <c r="C932" s="37"/>
      <c r="D932" s="37"/>
      <c r="E932" s="37"/>
      <c r="F932" s="37"/>
      <c r="G932" s="37"/>
      <c r="H932" s="37"/>
      <c r="I932" s="37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>
      <c r="A933" s="1"/>
      <c r="B933" s="37"/>
      <c r="C933" s="37"/>
      <c r="D933" s="37"/>
      <c r="E933" s="37"/>
      <c r="F933" s="37"/>
      <c r="G933" s="37"/>
      <c r="H933" s="37"/>
      <c r="I933" s="37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>
      <c r="A934" s="1"/>
      <c r="B934" s="37"/>
      <c r="C934" s="37"/>
      <c r="D934" s="37"/>
      <c r="E934" s="37"/>
      <c r="F934" s="37"/>
      <c r="G934" s="37"/>
      <c r="H934" s="37"/>
      <c r="I934" s="37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>
      <c r="A935" s="1"/>
      <c r="B935" s="37"/>
      <c r="C935" s="37"/>
      <c r="D935" s="37"/>
      <c r="E935" s="37"/>
      <c r="F935" s="37"/>
      <c r="G935" s="37"/>
      <c r="H935" s="37"/>
      <c r="I935" s="37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>
      <c r="A936" s="1"/>
      <c r="B936" s="37"/>
      <c r="C936" s="37"/>
      <c r="D936" s="37"/>
      <c r="E936" s="37"/>
      <c r="F936" s="37"/>
      <c r="G936" s="37"/>
      <c r="H936" s="37"/>
      <c r="I936" s="37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>
      <c r="A937" s="1"/>
      <c r="B937" s="37"/>
      <c r="C937" s="37"/>
      <c r="D937" s="37"/>
      <c r="E937" s="37"/>
      <c r="F937" s="37"/>
      <c r="G937" s="37"/>
      <c r="H937" s="37"/>
      <c r="I937" s="37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>
      <c r="A938" s="1"/>
      <c r="B938" s="37"/>
      <c r="C938" s="37"/>
      <c r="D938" s="37"/>
      <c r="E938" s="37"/>
      <c r="F938" s="37"/>
      <c r="G938" s="37"/>
      <c r="H938" s="37"/>
      <c r="I938" s="37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>
      <c r="A939" s="1"/>
      <c r="B939" s="37"/>
      <c r="C939" s="37"/>
      <c r="D939" s="37"/>
      <c r="E939" s="37"/>
      <c r="F939" s="37"/>
      <c r="G939" s="37"/>
      <c r="H939" s="37"/>
      <c r="I939" s="37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>
      <c r="A940" s="1"/>
      <c r="B940" s="37"/>
      <c r="C940" s="37"/>
      <c r="D940" s="37"/>
      <c r="E940" s="37"/>
      <c r="F940" s="37"/>
      <c r="G940" s="37"/>
      <c r="H940" s="37"/>
      <c r="I940" s="37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>
      <c r="A941" s="1"/>
      <c r="B941" s="37"/>
      <c r="C941" s="37"/>
      <c r="D941" s="37"/>
      <c r="E941" s="37"/>
      <c r="F941" s="37"/>
      <c r="G941" s="37"/>
      <c r="H941" s="37"/>
      <c r="I941" s="37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>
      <c r="A942" s="1"/>
      <c r="B942" s="37"/>
      <c r="C942" s="37"/>
      <c r="D942" s="37"/>
      <c r="E942" s="37"/>
      <c r="F942" s="37"/>
      <c r="G942" s="37"/>
      <c r="H942" s="37"/>
      <c r="I942" s="37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>
      <c r="A943" s="1"/>
      <c r="B943" s="37"/>
      <c r="C943" s="37"/>
      <c r="D943" s="37"/>
      <c r="E943" s="37"/>
      <c r="F943" s="37"/>
      <c r="G943" s="37"/>
      <c r="H943" s="37"/>
      <c r="I943" s="37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>
      <c r="A944" s="1"/>
      <c r="B944" s="37"/>
      <c r="C944" s="37"/>
      <c r="D944" s="37"/>
      <c r="E944" s="37"/>
      <c r="F944" s="37"/>
      <c r="G944" s="37"/>
      <c r="H944" s="37"/>
      <c r="I944" s="37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>
      <c r="A945" s="1"/>
      <c r="B945" s="37"/>
      <c r="C945" s="37"/>
      <c r="D945" s="37"/>
      <c r="E945" s="37"/>
      <c r="F945" s="37"/>
      <c r="G945" s="37"/>
      <c r="H945" s="37"/>
      <c r="I945" s="37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>
      <c r="A946" s="1"/>
      <c r="B946" s="37"/>
      <c r="C946" s="37"/>
      <c r="D946" s="37"/>
      <c r="E946" s="37"/>
      <c r="F946" s="37"/>
      <c r="G946" s="37"/>
      <c r="H946" s="37"/>
      <c r="I946" s="37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>
      <c r="A947" s="1"/>
      <c r="B947" s="37"/>
      <c r="C947" s="37"/>
      <c r="D947" s="37"/>
      <c r="E947" s="37"/>
      <c r="F947" s="37"/>
      <c r="G947" s="37"/>
      <c r="H947" s="37"/>
      <c r="I947" s="37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>
      <c r="A948" s="1"/>
      <c r="B948" s="37"/>
      <c r="C948" s="37"/>
      <c r="D948" s="37"/>
      <c r="E948" s="37"/>
      <c r="F948" s="37"/>
      <c r="G948" s="37"/>
      <c r="H948" s="37"/>
      <c r="I948" s="37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>
      <c r="A949" s="1"/>
      <c r="B949" s="37"/>
      <c r="C949" s="37"/>
      <c r="D949" s="37"/>
      <c r="E949" s="37"/>
      <c r="F949" s="37"/>
      <c r="G949" s="37"/>
      <c r="H949" s="37"/>
      <c r="I949" s="37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>
      <c r="A950" s="1"/>
      <c r="B950" s="37"/>
      <c r="C950" s="37"/>
      <c r="D950" s="37"/>
      <c r="E950" s="37"/>
      <c r="F950" s="37"/>
      <c r="G950" s="37"/>
      <c r="H950" s="37"/>
      <c r="I950" s="37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>
      <c r="A951" s="1"/>
      <c r="B951" s="37"/>
      <c r="C951" s="37"/>
      <c r="D951" s="37"/>
      <c r="E951" s="37"/>
      <c r="F951" s="37"/>
      <c r="G951" s="37"/>
      <c r="H951" s="37"/>
      <c r="I951" s="37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>
      <c r="A952" s="1"/>
      <c r="B952" s="37"/>
      <c r="C952" s="37"/>
      <c r="D952" s="37"/>
      <c r="E952" s="37"/>
      <c r="F952" s="37"/>
      <c r="G952" s="37"/>
      <c r="H952" s="37"/>
      <c r="I952" s="37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>
      <c r="A953" s="1"/>
      <c r="B953" s="37"/>
      <c r="C953" s="37"/>
      <c r="D953" s="37"/>
      <c r="E953" s="37"/>
      <c r="F953" s="37"/>
      <c r="G953" s="37"/>
      <c r="H953" s="37"/>
      <c r="I953" s="37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>
      <c r="A954" s="1"/>
      <c r="B954" s="37"/>
      <c r="C954" s="37"/>
      <c r="D954" s="37"/>
      <c r="E954" s="37"/>
      <c r="F954" s="37"/>
      <c r="G954" s="37"/>
      <c r="H954" s="37"/>
      <c r="I954" s="37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>
      <c r="A955" s="1"/>
      <c r="B955" s="37"/>
      <c r="C955" s="37"/>
      <c r="D955" s="37"/>
      <c r="E955" s="37"/>
      <c r="F955" s="37"/>
      <c r="G955" s="37"/>
      <c r="H955" s="37"/>
      <c r="I955" s="37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>
      <c r="A956" s="1"/>
      <c r="B956" s="37"/>
      <c r="C956" s="37"/>
      <c r="D956" s="37"/>
      <c r="E956" s="37"/>
      <c r="F956" s="37"/>
      <c r="G956" s="37"/>
      <c r="H956" s="37"/>
      <c r="I956" s="37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>
      <c r="A957" s="1"/>
      <c r="B957" s="37"/>
      <c r="C957" s="37"/>
      <c r="D957" s="37"/>
      <c r="E957" s="37"/>
      <c r="F957" s="37"/>
      <c r="G957" s="37"/>
      <c r="H957" s="37"/>
      <c r="I957" s="37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>
      <c r="A958" s="1"/>
      <c r="B958" s="37"/>
      <c r="C958" s="37"/>
      <c r="D958" s="37"/>
      <c r="E958" s="37"/>
      <c r="F958" s="37"/>
      <c r="G958" s="37"/>
      <c r="H958" s="37"/>
      <c r="I958" s="37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>
      <c r="A959" s="1"/>
      <c r="B959" s="37"/>
      <c r="C959" s="37"/>
      <c r="D959" s="37"/>
      <c r="E959" s="37"/>
      <c r="F959" s="37"/>
      <c r="G959" s="37"/>
      <c r="H959" s="37"/>
      <c r="I959" s="37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>
      <c r="A960" s="1"/>
      <c r="B960" s="37"/>
      <c r="C960" s="37"/>
      <c r="D960" s="37"/>
      <c r="E960" s="37"/>
      <c r="F960" s="37"/>
      <c r="G960" s="37"/>
      <c r="H960" s="37"/>
      <c r="I960" s="37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>
      <c r="A961" s="1"/>
      <c r="B961" s="37"/>
      <c r="C961" s="37"/>
      <c r="D961" s="37"/>
      <c r="E961" s="37"/>
      <c r="F961" s="37"/>
      <c r="G961" s="37"/>
      <c r="H961" s="37"/>
      <c r="I961" s="37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>
      <c r="A962" s="1"/>
      <c r="B962" s="37"/>
      <c r="C962" s="37"/>
      <c r="D962" s="37"/>
      <c r="E962" s="37"/>
      <c r="F962" s="37"/>
      <c r="G962" s="37"/>
      <c r="H962" s="37"/>
      <c r="I962" s="37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>
      <c r="A963" s="1"/>
      <c r="B963" s="37"/>
      <c r="C963" s="37"/>
      <c r="D963" s="37"/>
      <c r="E963" s="37"/>
      <c r="F963" s="37"/>
      <c r="G963" s="37"/>
      <c r="H963" s="37"/>
      <c r="I963" s="37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>
      <c r="A964" s="1"/>
      <c r="B964" s="37"/>
      <c r="C964" s="37"/>
      <c r="D964" s="37"/>
      <c r="E964" s="37"/>
      <c r="F964" s="37"/>
      <c r="G964" s="37"/>
      <c r="H964" s="37"/>
      <c r="I964" s="37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>
      <c r="A965" s="1"/>
      <c r="B965" s="37"/>
      <c r="C965" s="37"/>
      <c r="D965" s="37"/>
      <c r="E965" s="37"/>
      <c r="F965" s="37"/>
      <c r="G965" s="37"/>
      <c r="H965" s="37"/>
      <c r="I965" s="37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>
      <c r="A966" s="1"/>
      <c r="B966" s="37"/>
      <c r="C966" s="37"/>
      <c r="D966" s="37"/>
      <c r="E966" s="37"/>
      <c r="F966" s="37"/>
      <c r="G966" s="37"/>
      <c r="H966" s="37"/>
      <c r="I966" s="37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>
      <c r="A967" s="1"/>
      <c r="B967" s="37"/>
      <c r="C967" s="37"/>
      <c r="D967" s="37"/>
      <c r="E967" s="37"/>
      <c r="F967" s="37"/>
      <c r="G967" s="37"/>
      <c r="H967" s="37"/>
      <c r="I967" s="37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>
      <c r="A968" s="1"/>
      <c r="B968" s="37"/>
      <c r="C968" s="37"/>
      <c r="D968" s="37"/>
      <c r="E968" s="37"/>
      <c r="F968" s="37"/>
      <c r="G968" s="37"/>
      <c r="H968" s="37"/>
      <c r="I968" s="37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>
      <c r="A969" s="1"/>
      <c r="B969" s="37"/>
      <c r="C969" s="37"/>
      <c r="D969" s="37"/>
      <c r="E969" s="37"/>
      <c r="F969" s="37"/>
      <c r="G969" s="37"/>
      <c r="H969" s="37"/>
      <c r="I969" s="37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>
      <c r="A970" s="1"/>
      <c r="B970" s="37"/>
      <c r="C970" s="37"/>
      <c r="D970" s="37"/>
      <c r="E970" s="37"/>
      <c r="F970" s="37"/>
      <c r="G970" s="37"/>
      <c r="H970" s="37"/>
      <c r="I970" s="37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>
      <c r="A971" s="1"/>
      <c r="B971" s="37"/>
      <c r="C971" s="37"/>
      <c r="D971" s="37"/>
      <c r="E971" s="37"/>
      <c r="F971" s="37"/>
      <c r="G971" s="37"/>
      <c r="H971" s="37"/>
      <c r="I971" s="37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>
      <c r="A972" s="1"/>
      <c r="B972" s="37"/>
      <c r="C972" s="37"/>
      <c r="D972" s="37"/>
      <c r="E972" s="37"/>
      <c r="F972" s="37"/>
      <c r="G972" s="37"/>
      <c r="H972" s="37"/>
      <c r="I972" s="37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>
      <c r="A973" s="1"/>
      <c r="B973" s="37"/>
      <c r="C973" s="37"/>
      <c r="D973" s="37"/>
      <c r="E973" s="37"/>
      <c r="F973" s="37"/>
      <c r="G973" s="37"/>
      <c r="H973" s="37"/>
      <c r="I973" s="37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>
      <c r="A974" s="1"/>
      <c r="B974" s="37"/>
      <c r="C974" s="37"/>
      <c r="D974" s="37"/>
      <c r="E974" s="37"/>
      <c r="F974" s="37"/>
      <c r="G974" s="37"/>
      <c r="H974" s="37"/>
      <c r="I974" s="37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>
      <c r="A975" s="1"/>
      <c r="B975" s="37"/>
      <c r="C975" s="37"/>
      <c r="D975" s="37"/>
      <c r="E975" s="37"/>
      <c r="F975" s="37"/>
      <c r="G975" s="37"/>
      <c r="H975" s="37"/>
      <c r="I975" s="37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>
      <c r="A976" s="1"/>
      <c r="B976" s="37"/>
      <c r="C976" s="37"/>
      <c r="D976" s="37"/>
      <c r="E976" s="37"/>
      <c r="F976" s="37"/>
      <c r="G976" s="37"/>
      <c r="H976" s="37"/>
      <c r="I976" s="37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>
      <c r="A977" s="1"/>
      <c r="B977" s="37"/>
      <c r="C977" s="37"/>
      <c r="D977" s="37"/>
      <c r="E977" s="37"/>
      <c r="F977" s="37"/>
      <c r="G977" s="37"/>
      <c r="H977" s="37"/>
      <c r="I977" s="37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>
      <c r="A978" s="1"/>
      <c r="B978" s="37"/>
      <c r="C978" s="37"/>
      <c r="D978" s="37"/>
      <c r="E978" s="37"/>
      <c r="F978" s="37"/>
      <c r="G978" s="37"/>
      <c r="H978" s="37"/>
      <c r="I978" s="37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>
      <c r="A979" s="1"/>
      <c r="B979" s="37"/>
      <c r="C979" s="37"/>
      <c r="D979" s="37"/>
      <c r="E979" s="37"/>
      <c r="F979" s="37"/>
      <c r="G979" s="37"/>
      <c r="H979" s="37"/>
      <c r="I979" s="37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>
      <c r="A980" s="1"/>
      <c r="B980" s="37"/>
      <c r="C980" s="37"/>
      <c r="D980" s="37"/>
      <c r="E980" s="37"/>
      <c r="F980" s="37"/>
      <c r="G980" s="37"/>
      <c r="H980" s="37"/>
      <c r="I980" s="37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>
      <c r="A981" s="1"/>
      <c r="B981" s="37"/>
      <c r="C981" s="37"/>
      <c r="D981" s="37"/>
      <c r="E981" s="37"/>
      <c r="F981" s="37"/>
      <c r="G981" s="37"/>
      <c r="H981" s="37"/>
      <c r="I981" s="37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>
      <c r="A982" s="1"/>
      <c r="B982" s="37"/>
      <c r="C982" s="37"/>
      <c r="D982" s="37"/>
      <c r="E982" s="37"/>
      <c r="F982" s="37"/>
      <c r="G982" s="37"/>
      <c r="H982" s="37"/>
      <c r="I982" s="37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>
      <c r="A983" s="1"/>
      <c r="B983" s="37"/>
      <c r="C983" s="37"/>
      <c r="D983" s="37"/>
      <c r="E983" s="37"/>
      <c r="F983" s="37"/>
      <c r="G983" s="37"/>
      <c r="H983" s="37"/>
      <c r="I983" s="37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>
      <c r="A984" s="1"/>
      <c r="B984" s="37"/>
      <c r="C984" s="37"/>
      <c r="D984" s="37"/>
      <c r="E984" s="37"/>
      <c r="F984" s="37"/>
      <c r="G984" s="37"/>
      <c r="H984" s="37"/>
      <c r="I984" s="37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>
      <c r="A985" s="1"/>
      <c r="B985" s="37"/>
      <c r="C985" s="37"/>
      <c r="D985" s="37"/>
      <c r="E985" s="37"/>
      <c r="F985" s="37"/>
      <c r="G985" s="37"/>
      <c r="H985" s="37"/>
      <c r="I985" s="37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>
      <c r="A986" s="1"/>
      <c r="B986" s="37"/>
      <c r="C986" s="37"/>
      <c r="D986" s="37"/>
      <c r="E986" s="37"/>
      <c r="F986" s="37"/>
      <c r="G986" s="37"/>
      <c r="H986" s="37"/>
      <c r="I986" s="37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>
      <c r="A987" s="1"/>
      <c r="B987" s="37"/>
      <c r="C987" s="37"/>
      <c r="D987" s="37"/>
      <c r="E987" s="37"/>
      <c r="F987" s="37"/>
      <c r="G987" s="37"/>
      <c r="H987" s="37"/>
      <c r="I987" s="37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>
      <c r="A988" s="1"/>
      <c r="B988" s="37"/>
      <c r="C988" s="37"/>
      <c r="D988" s="37"/>
      <c r="E988" s="37"/>
      <c r="F988" s="37"/>
      <c r="G988" s="37"/>
      <c r="H988" s="37"/>
      <c r="I988" s="37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>
      <c r="A989" s="1"/>
      <c r="B989" s="37"/>
      <c r="C989" s="37"/>
      <c r="D989" s="37"/>
      <c r="E989" s="37"/>
      <c r="F989" s="37"/>
      <c r="G989" s="37"/>
      <c r="H989" s="37"/>
      <c r="I989" s="37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>
      <c r="A990" s="1"/>
      <c r="B990" s="37"/>
      <c r="C990" s="37"/>
      <c r="D990" s="37"/>
      <c r="E990" s="37"/>
      <c r="F990" s="37"/>
      <c r="G990" s="37"/>
      <c r="H990" s="37"/>
      <c r="I990" s="37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>
      <c r="A991" s="1"/>
      <c r="B991" s="37"/>
      <c r="C991" s="37"/>
      <c r="D991" s="37"/>
      <c r="E991" s="37"/>
      <c r="F991" s="37"/>
      <c r="G991" s="37"/>
      <c r="H991" s="37"/>
      <c r="I991" s="37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>
      <c r="A992" s="1"/>
      <c r="B992" s="37"/>
      <c r="C992" s="37"/>
      <c r="D992" s="37"/>
      <c r="E992" s="37"/>
      <c r="F992" s="37"/>
      <c r="G992" s="37"/>
      <c r="H992" s="37"/>
      <c r="I992" s="37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>
      <c r="A993" s="1"/>
      <c r="B993" s="37"/>
      <c r="C993" s="37"/>
      <c r="D993" s="37"/>
      <c r="E993" s="37"/>
      <c r="F993" s="37"/>
      <c r="G993" s="37"/>
      <c r="H993" s="37"/>
      <c r="I993" s="37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>
      <c r="A994" s="1"/>
      <c r="B994" s="37"/>
      <c r="C994" s="37"/>
      <c r="D994" s="37"/>
      <c r="E994" s="37"/>
      <c r="F994" s="37"/>
      <c r="G994" s="37"/>
      <c r="H994" s="37"/>
      <c r="I994" s="37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>
      <c r="A995" s="1"/>
      <c r="B995" s="37"/>
      <c r="C995" s="37"/>
      <c r="D995" s="37"/>
      <c r="E995" s="37"/>
      <c r="F995" s="37"/>
      <c r="G995" s="37"/>
      <c r="H995" s="37"/>
      <c r="I995" s="37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>
      <c r="A996" s="1"/>
      <c r="B996" s="37"/>
      <c r="C996" s="37"/>
      <c r="D996" s="37"/>
      <c r="E996" s="37"/>
      <c r="F996" s="37"/>
      <c r="G996" s="37"/>
      <c r="H996" s="37"/>
      <c r="I996" s="37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>
      <c r="A997" s="1"/>
      <c r="B997" s="37"/>
      <c r="C997" s="37"/>
      <c r="D997" s="37"/>
      <c r="E997" s="37"/>
      <c r="F997" s="37"/>
      <c r="G997" s="37"/>
      <c r="H997" s="37"/>
      <c r="I997" s="37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" customHeight="1">
      <c r="A998" s="1"/>
      <c r="B998" s="37"/>
      <c r="C998" s="37"/>
      <c r="D998" s="37"/>
      <c r="E998" s="37"/>
      <c r="F998" s="37"/>
      <c r="G998" s="37"/>
      <c r="H998" s="37"/>
      <c r="I998" s="37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" customHeight="1">
      <c r="A999" s="1"/>
      <c r="B999" s="37"/>
      <c r="C999" s="37"/>
      <c r="D999" s="37"/>
      <c r="E999" s="37"/>
      <c r="F999" s="37"/>
      <c r="G999" s="37"/>
      <c r="H999" s="37"/>
      <c r="I999" s="37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" customHeight="1">
      <c r="A1000" s="1"/>
      <c r="B1000" s="37"/>
      <c r="C1000" s="37"/>
      <c r="D1000" s="37"/>
      <c r="E1000" s="37"/>
      <c r="F1000" s="37"/>
      <c r="G1000" s="37"/>
      <c r="H1000" s="37"/>
      <c r="I1000" s="37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F17:I17"/>
    <mergeCell ref="E7:I8"/>
  </mergeCells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Lists!N1:N5</xm:f>
          </x14:formula1>
          <xm:sqref>C5</xm:sqref>
        </x14:dataValidation>
        <x14:dataValidation type="list" allowBlank="1" showErrorMessage="1" xr:uid="{00000000-0002-0000-0100-000001000000}">
          <x14:formula1>
            <xm:f>'Cogen Data'!$B$4:$B$14</xm:f>
          </x14:formula1>
          <xm:sqref>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90"/>
  </sheetPr>
  <dimension ref="A1:Z1000"/>
  <sheetViews>
    <sheetView zoomScale="115" zoomScaleNormal="115" workbookViewId="0">
      <selection activeCell="D23" sqref="D23"/>
    </sheetView>
  </sheetViews>
  <sheetFormatPr defaultColWidth="14.453125" defaultRowHeight="15" customHeight="1"/>
  <cols>
    <col min="1" max="1" width="3.81640625" customWidth="1"/>
    <col min="2" max="2" width="15.26953125" customWidth="1"/>
    <col min="3" max="3" width="14" customWidth="1"/>
    <col min="4" max="4" width="14.08984375" customWidth="1"/>
    <col min="5" max="5" width="12.81640625" customWidth="1"/>
    <col min="6" max="7" width="11" customWidth="1"/>
    <col min="8" max="8" width="14.81640625" customWidth="1"/>
    <col min="10" max="26" width="10.81640625" customWidth="1"/>
  </cols>
  <sheetData>
    <row r="1" spans="1:26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40" t="s">
        <v>55</v>
      </c>
      <c r="C2" s="5"/>
      <c r="D2" s="5"/>
      <c r="E2" s="5"/>
      <c r="F2" s="5"/>
      <c r="G2" s="57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9" t="s">
        <v>56</v>
      </c>
      <c r="C3" s="5"/>
      <c r="D3" s="5"/>
      <c r="E3" s="5"/>
      <c r="F3" s="5"/>
      <c r="G3" s="57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1"/>
      <c r="B4" s="31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1"/>
      <c r="B6" s="4" t="s">
        <v>57</v>
      </c>
      <c r="C6" s="5"/>
      <c r="D6" s="5"/>
      <c r="E6" s="5"/>
      <c r="F6" s="57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1"/>
      <c r="B8" s="31" t="s">
        <v>58</v>
      </c>
      <c r="C8" s="58" t="s">
        <v>9</v>
      </c>
      <c r="D8" s="59" t="s">
        <v>59</v>
      </c>
      <c r="E8" s="59" t="s">
        <v>60</v>
      </c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1"/>
      <c r="B9" s="3" t="s">
        <v>61</v>
      </c>
      <c r="C9" s="60">
        <f>'Construction and Materials'!E10</f>
        <v>7396873.8461538451</v>
      </c>
      <c r="D9" s="34">
        <f>'Construction and Materials'!E11+'Construction and Materials'!E13</f>
        <v>1992200.1765554205</v>
      </c>
      <c r="E9" s="61">
        <f>D9/C9</f>
        <v>0.26933001940965984</v>
      </c>
      <c r="F9" s="62">
        <v>1</v>
      </c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3" t="s">
        <v>6</v>
      </c>
      <c r="C10" s="60">
        <f>'Construction and Materials'!F10</f>
        <v>155969076.64015052</v>
      </c>
      <c r="D10" s="34">
        <f>'Construction and Materials'!F11+'Construction and Materials'!F13</f>
        <v>25379002.375222787</v>
      </c>
      <c r="E10" s="61">
        <f>D10/C10</f>
        <v>0.16271816774152503</v>
      </c>
      <c r="F10" s="62">
        <v>1</v>
      </c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1"/>
      <c r="B11" s="3" t="s">
        <v>62</v>
      </c>
      <c r="C11" s="60">
        <f>'Construction and Materials'!G10</f>
        <v>271387397.26027399</v>
      </c>
      <c r="D11" s="34">
        <f>'Construction and Materials'!G11+'Construction and Materials'!G13</f>
        <v>164793741.81272784</v>
      </c>
      <c r="E11" s="61">
        <f>D11/C11</f>
        <v>0.60722695112729375</v>
      </c>
      <c r="F11" s="62">
        <v>1</v>
      </c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1"/>
      <c r="B12" s="3" t="s">
        <v>63</v>
      </c>
      <c r="C12" s="63" t="s">
        <v>13</v>
      </c>
      <c r="D12" s="48">
        <f>'Construction and Materials'!H11+'Construction and Materials'!H13</f>
        <v>5.3404129839024796E-2</v>
      </c>
      <c r="E12" s="8" t="s">
        <v>13</v>
      </c>
      <c r="F12" s="3"/>
      <c r="G12" s="3"/>
      <c r="H12" s="3"/>
      <c r="I12" s="3"/>
      <c r="J12" s="3"/>
      <c r="K12" s="3"/>
      <c r="L12" s="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4" t="s">
        <v>64</v>
      </c>
      <c r="C27" s="5"/>
      <c r="D27" s="5"/>
      <c r="E27" s="5"/>
      <c r="F27" s="57"/>
      <c r="G27" s="3"/>
      <c r="H27" s="3"/>
      <c r="I27" s="3"/>
      <c r="J27" s="3"/>
      <c r="K27" s="3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>
      <c r="A29" s="1"/>
      <c r="B29" s="3"/>
      <c r="C29" s="159" t="s">
        <v>11</v>
      </c>
      <c r="D29" s="151"/>
      <c r="E29" s="151"/>
      <c r="F29" s="159" t="s">
        <v>65</v>
      </c>
      <c r="G29" s="151"/>
      <c r="H29" s="151"/>
      <c r="I29" s="59" t="s">
        <v>53</v>
      </c>
      <c r="J29" s="3"/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31" t="s">
        <v>58</v>
      </c>
      <c r="C30" s="64" t="s">
        <v>66</v>
      </c>
      <c r="D30" s="58" t="s">
        <v>67</v>
      </c>
      <c r="E30" s="65" t="s">
        <v>68</v>
      </c>
      <c r="F30" s="66" t="s">
        <v>69</v>
      </c>
      <c r="G30" s="67" t="s">
        <v>35</v>
      </c>
      <c r="H30" s="68" t="s">
        <v>42</v>
      </c>
      <c r="I30" s="59" t="s">
        <v>70</v>
      </c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3" t="s">
        <v>61</v>
      </c>
      <c r="C31" s="53">
        <f>Lists!S47</f>
        <v>789500.72727103392</v>
      </c>
      <c r="D31" s="60">
        <f>Lists!T47</f>
        <v>47434.981118133946</v>
      </c>
      <c r="E31" s="69">
        <f>Lists!U47</f>
        <v>921302.81839410414</v>
      </c>
      <c r="F31" s="70">
        <f>('Use Phase'!F19+'Use Phase'!F20+'Use Phase'!F23+'Use Phase'!F27)*50</f>
        <v>0</v>
      </c>
      <c r="G31" s="71">
        <f>('Use Phase'!F25+'Use Phase'!F29)*50</f>
        <v>0</v>
      </c>
      <c r="H31" s="72">
        <f>('Use Phase'!F39+'Use Phase'!F40)*50</f>
        <v>45414.053999999996</v>
      </c>
      <c r="I31" s="34">
        <f>SUM(C31:H31)</f>
        <v>1803652.5807832722</v>
      </c>
      <c r="J31" s="41">
        <f>I31-D9</f>
        <v>-188547.59577214834</v>
      </c>
      <c r="K31" s="3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73" t="s">
        <v>71</v>
      </c>
      <c r="C32" s="74">
        <f t="shared" ref="C32:I32" si="0">C31/$I$31</f>
        <v>0.43772328201264649</v>
      </c>
      <c r="D32" s="75">
        <f t="shared" si="0"/>
        <v>2.6299400241222928E-2</v>
      </c>
      <c r="E32" s="76">
        <f t="shared" si="0"/>
        <v>0.51079838113502429</v>
      </c>
      <c r="F32" s="77">
        <f t="shared" si="0"/>
        <v>0</v>
      </c>
      <c r="G32" s="78">
        <f t="shared" si="0"/>
        <v>0</v>
      </c>
      <c r="H32" s="79">
        <f t="shared" si="0"/>
        <v>2.5178936611106133E-2</v>
      </c>
      <c r="I32" s="61">
        <f t="shared" si="0"/>
        <v>1</v>
      </c>
      <c r="J32" s="1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3" t="s">
        <v>6</v>
      </c>
      <c r="C33" s="53">
        <f>Lists!W47</f>
        <v>8697771.53213582</v>
      </c>
      <c r="D33" s="60">
        <f>Lists!X47</f>
        <v>730529.07563135726</v>
      </c>
      <c r="E33" s="69">
        <f>Lists!Y47</f>
        <v>12946776.25915157</v>
      </c>
      <c r="F33" s="70">
        <f>('Use Phase'!G19+'Use Phase'!G20+'Use Phase'!G23+'Use Phase'!G27)*50</f>
        <v>0</v>
      </c>
      <c r="G33" s="71">
        <f>('Use Phase'!G25+'Use Phase'!G29)*50</f>
        <v>0</v>
      </c>
      <c r="H33" s="72">
        <f>('Use Phase'!G39+'Use Phase'!G40)*50</f>
        <v>506239.08431040001</v>
      </c>
      <c r="I33" s="34">
        <f>SUM(C33:H33)</f>
        <v>22881315.951229151</v>
      </c>
      <c r="J33" s="41">
        <f>I33-D10</f>
        <v>-2497686.4239936359</v>
      </c>
      <c r="K33" s="3"/>
      <c r="L33" s="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73" t="s">
        <v>71</v>
      </c>
      <c r="C34" s="74">
        <f t="shared" ref="C34:I34" si="1">C33/$I$33</f>
        <v>0.38012549412257857</v>
      </c>
      <c r="D34" s="75">
        <f t="shared" si="1"/>
        <v>3.1926882054706049E-2</v>
      </c>
      <c r="E34" s="76">
        <f t="shared" si="1"/>
        <v>0.56582306222016432</v>
      </c>
      <c r="F34" s="77">
        <f t="shared" si="1"/>
        <v>0</v>
      </c>
      <c r="G34" s="78">
        <f t="shared" si="1"/>
        <v>0</v>
      </c>
      <c r="H34" s="79">
        <f t="shared" si="1"/>
        <v>2.2124561602550906E-2</v>
      </c>
      <c r="I34" s="61">
        <f t="shared" si="1"/>
        <v>1</v>
      </c>
      <c r="J34" s="1"/>
      <c r="K34" s="3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3" t="s">
        <v>62</v>
      </c>
      <c r="C35" s="53">
        <f>Lists!AA47</f>
        <v>8963649.6438869275</v>
      </c>
      <c r="D35" s="60">
        <f>Lists!AB47</f>
        <v>169235.2574178082</v>
      </c>
      <c r="E35" s="69">
        <f>Lists!AC47</f>
        <v>7675759.7925323397</v>
      </c>
      <c r="F35" s="70">
        <f>('Use Phase'!H19+'Use Phase'!H20+'Use Phase'!H23+'Use Phase'!H27)*50</f>
        <v>0</v>
      </c>
      <c r="G35" s="71">
        <f>('Use Phase'!H25+'Use Phase'!H29)*50</f>
        <v>0</v>
      </c>
      <c r="H35" s="72">
        <f>('Use Phase'!H39+'Use Phase'!H40)*50</f>
        <v>145234734.79500002</v>
      </c>
      <c r="I35" s="34">
        <f>SUM(C35:H35)</f>
        <v>162043379.48883709</v>
      </c>
      <c r="J35" s="41">
        <f>I35-D11</f>
        <v>-2750362.3238907456</v>
      </c>
      <c r="K35" s="3"/>
      <c r="L35" s="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73" t="s">
        <v>71</v>
      </c>
      <c r="C36" s="74">
        <f t="shared" ref="C36:I36" si="2">C35/$I$35</f>
        <v>5.5316358324311664E-2</v>
      </c>
      <c r="D36" s="75">
        <f t="shared" si="2"/>
        <v>1.044382423716771E-3</v>
      </c>
      <c r="E36" s="76">
        <f t="shared" si="2"/>
        <v>4.7368549191860752E-2</v>
      </c>
      <c r="F36" s="77">
        <f t="shared" si="2"/>
        <v>0</v>
      </c>
      <c r="G36" s="78">
        <f t="shared" si="2"/>
        <v>0</v>
      </c>
      <c r="H36" s="79">
        <f t="shared" si="2"/>
        <v>0.89627071006011083</v>
      </c>
      <c r="I36" s="61">
        <f t="shared" si="2"/>
        <v>1</v>
      </c>
      <c r="J36" s="1"/>
      <c r="K36" s="3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>
      <c r="A37" s="1"/>
      <c r="B37" s="3" t="s">
        <v>63</v>
      </c>
      <c r="C37" s="54">
        <f>Lists!AE47</f>
        <v>3.5283364761978325E-2</v>
      </c>
      <c r="D37" s="80">
        <f>Lists!AF47</f>
        <v>7.5268527937151801E-3</v>
      </c>
      <c r="E37" s="81">
        <f>Lists!AG47</f>
        <v>3.7630014547804852E-5</v>
      </c>
      <c r="F37" s="82">
        <f>('Use Phase'!I19+'Use Phase'!I20+'Use Phase'!I23+'Use Phase'!I27)*50</f>
        <v>0</v>
      </c>
      <c r="G37" s="83">
        <f>('Use Phase'!I25+'Use Phase'!I29)*50</f>
        <v>0</v>
      </c>
      <c r="H37" s="84">
        <f>('Use Phase'!I39+'Use Phase'!I40)*50</f>
        <v>2.3208444E-3</v>
      </c>
      <c r="I37" s="48">
        <f>SUM(C37:H37)</f>
        <v>4.5168691970241308E-2</v>
      </c>
      <c r="J37" s="85">
        <f>I37-D12</f>
        <v>-8.2354378687834878E-3</v>
      </c>
      <c r="K37" s="3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>
      <c r="A38" s="1"/>
      <c r="B38" s="73" t="s">
        <v>71</v>
      </c>
      <c r="C38" s="74">
        <f t="shared" ref="C38:I38" si="3">C37/$I$37</f>
        <v>0.78114648051407432</v>
      </c>
      <c r="D38" s="75">
        <f t="shared" si="3"/>
        <v>0.16663871512316827</v>
      </c>
      <c r="E38" s="76">
        <f t="shared" si="3"/>
        <v>8.3309949671770008E-4</v>
      </c>
      <c r="F38" s="77">
        <f t="shared" si="3"/>
        <v>0</v>
      </c>
      <c r="G38" s="78">
        <f t="shared" si="3"/>
        <v>0</v>
      </c>
      <c r="H38" s="79">
        <f t="shared" si="3"/>
        <v>5.1381704866039789E-2</v>
      </c>
      <c r="I38" s="61">
        <f t="shared" si="3"/>
        <v>1</v>
      </c>
      <c r="J38" s="3"/>
      <c r="K38" s="3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>
      <c r="A41" s="1"/>
      <c r="B41" s="9" t="s">
        <v>72</v>
      </c>
      <c r="C41" s="5"/>
      <c r="D41" s="86">
        <f>SUM(C31:E31)</f>
        <v>1758238.5267832722</v>
      </c>
      <c r="E41" s="87">
        <f>SUM(C32:E32)</f>
        <v>0.97482106338889363</v>
      </c>
      <c r="F41" s="1"/>
      <c r="G41" s="1"/>
      <c r="H41" s="9" t="s">
        <v>73</v>
      </c>
      <c r="I41" s="5"/>
      <c r="J41" s="5"/>
      <c r="K41" s="88"/>
      <c r="L41" s="6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9" t="s">
        <v>74</v>
      </c>
      <c r="C61" s="5"/>
      <c r="D61" s="86">
        <f>SUM(C33:E33)</f>
        <v>22375076.86691875</v>
      </c>
      <c r="E61" s="87">
        <f>SUM(C34:E34)</f>
        <v>0.97787543839744895</v>
      </c>
      <c r="F61" s="1"/>
      <c r="G61" s="1"/>
      <c r="H61" s="9" t="s">
        <v>75</v>
      </c>
      <c r="I61" s="5"/>
      <c r="J61" s="5"/>
      <c r="K61" s="3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9" t="s">
        <v>76</v>
      </c>
      <c r="C81" s="5"/>
      <c r="D81" s="86">
        <f>SUM(C35:E35)</f>
        <v>16808644.693837076</v>
      </c>
      <c r="E81" s="87">
        <f>SUM(C36:E36)</f>
        <v>0.1037292899398892</v>
      </c>
      <c r="F81" s="1"/>
      <c r="G81" s="1"/>
      <c r="H81" s="9" t="s">
        <v>77</v>
      </c>
      <c r="I81" s="5"/>
      <c r="J81" s="5"/>
      <c r="K81" s="3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9" t="s">
        <v>78</v>
      </c>
      <c r="C101" s="5"/>
      <c r="D101" s="89">
        <f>SUM(C37:E37)</f>
        <v>4.2847847570241307E-2</v>
      </c>
      <c r="E101" s="87">
        <f>SUM(C38:E38)</f>
        <v>0.94861829513396034</v>
      </c>
      <c r="F101" s="1"/>
      <c r="G101" s="1"/>
      <c r="H101" s="9" t="s">
        <v>79</v>
      </c>
      <c r="I101" s="5"/>
      <c r="J101" s="5"/>
      <c r="K101" s="3"/>
      <c r="L101" s="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 t="s">
        <v>24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4" t="s">
        <v>80</v>
      </c>
      <c r="C122" s="5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5" t="s">
        <v>81</v>
      </c>
      <c r="C154" s="86">
        <f>Lists!CJ49/1000</f>
        <v>0</v>
      </c>
      <c r="D154" s="5" t="s">
        <v>82</v>
      </c>
      <c r="E154" s="1"/>
      <c r="F154" s="5" t="s">
        <v>83</v>
      </c>
      <c r="G154" s="90">
        <f>Lists!CK51</f>
        <v>0</v>
      </c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29:E29"/>
    <mergeCell ref="F29:H29"/>
  </mergeCells>
  <conditionalFormatting sqref="E9:E11">
    <cfRule type="cellIs" dxfId="1" priority="1" operator="greaterThan">
      <formula>1</formula>
    </cfRule>
  </conditionalFormatting>
  <conditionalFormatting sqref="J30:J38">
    <cfRule type="cellIs" dxfId="0" priority="2" operator="greaterThan">
      <formula>0</formula>
    </cfRule>
  </conditionalFormatting>
  <pageMargins left="0.75" right="0.75" top="1" bottom="1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L1000"/>
  <sheetViews>
    <sheetView workbookViewId="0"/>
  </sheetViews>
  <sheetFormatPr defaultColWidth="14.453125" defaultRowHeight="15" customHeight="1"/>
  <cols>
    <col min="1" max="26" width="8.7265625" customWidth="1"/>
  </cols>
  <sheetData>
    <row r="1" spans="2:12" ht="12" customHeight="1"/>
    <row r="2" spans="2:12" ht="12" customHeight="1">
      <c r="B2" s="91">
        <v>1</v>
      </c>
      <c r="C2" s="91">
        <v>2</v>
      </c>
      <c r="D2" s="91">
        <v>3</v>
      </c>
      <c r="E2" s="91">
        <v>4</v>
      </c>
      <c r="F2" s="91">
        <v>5</v>
      </c>
      <c r="G2" s="91">
        <v>6</v>
      </c>
      <c r="H2" s="91">
        <v>7</v>
      </c>
      <c r="I2" s="91">
        <v>8</v>
      </c>
      <c r="J2" s="91">
        <v>9</v>
      </c>
      <c r="K2" s="91"/>
      <c r="L2" s="91"/>
    </row>
    <row r="3" spans="2:12" ht="12" customHeight="1"/>
    <row r="4" spans="2:12" ht="12" customHeight="1">
      <c r="B4" s="91" t="s">
        <v>33</v>
      </c>
      <c r="C4" s="91" t="s">
        <v>84</v>
      </c>
      <c r="D4" s="91" t="s">
        <v>85</v>
      </c>
      <c r="E4" s="91" t="s">
        <v>86</v>
      </c>
      <c r="F4" s="91" t="s">
        <v>36</v>
      </c>
      <c r="G4" s="91" t="s">
        <v>87</v>
      </c>
      <c r="H4" s="91" t="s">
        <v>88</v>
      </c>
      <c r="I4" s="91" t="s">
        <v>89</v>
      </c>
      <c r="J4" s="91" t="s">
        <v>90</v>
      </c>
      <c r="K4" s="91"/>
      <c r="L4" s="91" t="s">
        <v>91</v>
      </c>
    </row>
    <row r="5" spans="2:12" ht="12" customHeight="1">
      <c r="B5" s="91" t="s">
        <v>92</v>
      </c>
      <c r="C5" s="91" t="s">
        <v>93</v>
      </c>
      <c r="D5" s="91" t="s">
        <v>13</v>
      </c>
      <c r="E5" s="92">
        <v>0.12770000000000001</v>
      </c>
      <c r="F5" s="92">
        <v>26.000028</v>
      </c>
      <c r="G5" s="92">
        <v>3.4599999999999999E-2</v>
      </c>
      <c r="H5" s="93">
        <v>1.6E-11</v>
      </c>
      <c r="I5" s="94">
        <v>15</v>
      </c>
      <c r="J5" s="91">
        <v>9.2799547806845975E-2</v>
      </c>
      <c r="K5" s="91"/>
      <c r="L5" s="91" t="s">
        <v>94</v>
      </c>
    </row>
    <row r="6" spans="2:12" ht="12" customHeight="1">
      <c r="B6" s="91" t="s">
        <v>95</v>
      </c>
      <c r="C6" s="91" t="s">
        <v>93</v>
      </c>
      <c r="D6" s="91" t="s">
        <v>13</v>
      </c>
      <c r="E6" s="92">
        <v>0.30099999999999999</v>
      </c>
      <c r="F6" s="92">
        <v>28.135296000000004</v>
      </c>
      <c r="G6" s="92">
        <v>2.4</v>
      </c>
      <c r="H6" s="93">
        <v>9.0200000000000007E-9</v>
      </c>
      <c r="I6" s="94">
        <v>30</v>
      </c>
      <c r="J6" s="91">
        <v>9.8486428173839305E-2</v>
      </c>
      <c r="K6" s="91"/>
      <c r="L6" s="91" t="s">
        <v>96</v>
      </c>
    </row>
    <row r="7" spans="2:12" ht="12" customHeight="1">
      <c r="B7" s="91" t="s">
        <v>97</v>
      </c>
      <c r="C7" s="91" t="s">
        <v>93</v>
      </c>
      <c r="D7" s="91" t="s">
        <v>13</v>
      </c>
      <c r="E7" s="92">
        <v>0.68759999999999999</v>
      </c>
      <c r="F7" s="92">
        <v>51.497640000000004</v>
      </c>
      <c r="G7" s="92">
        <v>4.5100000000000001E-2</v>
      </c>
      <c r="H7" s="93">
        <v>9.9600000000000012E-9</v>
      </c>
      <c r="I7" s="94">
        <v>43.835616438356162</v>
      </c>
      <c r="J7" s="91">
        <v>6.7725575279648023E-2</v>
      </c>
      <c r="K7" s="91"/>
      <c r="L7" s="91" t="s">
        <v>98</v>
      </c>
    </row>
    <row r="8" spans="2:12" ht="12" customHeight="1">
      <c r="B8" s="91" t="s">
        <v>99</v>
      </c>
      <c r="C8" s="91" t="s">
        <v>100</v>
      </c>
      <c r="D8" s="91">
        <v>832</v>
      </c>
      <c r="E8" s="92">
        <v>0.53941105769230768</v>
      </c>
      <c r="F8" s="92">
        <v>53.253227639423088</v>
      </c>
      <c r="G8" s="92">
        <v>6.784666021368807E-2</v>
      </c>
      <c r="H8" s="93">
        <v>1.5504807692307693E-10</v>
      </c>
      <c r="I8" s="94">
        <v>43</v>
      </c>
      <c r="J8" s="91">
        <v>6.9491954787577789E-2</v>
      </c>
      <c r="K8" s="91"/>
      <c r="L8" s="91" t="s">
        <v>101</v>
      </c>
    </row>
    <row r="9" spans="2:12" ht="12" customHeight="1">
      <c r="B9" s="91" t="s">
        <v>102</v>
      </c>
      <c r="C9" s="91" t="s">
        <v>93</v>
      </c>
      <c r="D9" s="91" t="s">
        <v>13</v>
      </c>
      <c r="E9" s="92">
        <v>0.42670000000000002</v>
      </c>
      <c r="F9" s="92">
        <v>52.075418400000004</v>
      </c>
      <c r="G9" s="92">
        <v>4.2</v>
      </c>
      <c r="H9" s="93">
        <v>4.4999999999999998E-7</v>
      </c>
      <c r="I9" s="94">
        <v>39.466000000000001</v>
      </c>
      <c r="J9" s="91">
        <v>7.8E-2</v>
      </c>
      <c r="K9" s="91"/>
      <c r="L9" s="91" t="s">
        <v>103</v>
      </c>
    </row>
    <row r="10" spans="2:12" ht="12" customHeight="1">
      <c r="B10" s="91" t="s">
        <v>104</v>
      </c>
      <c r="C10" s="91" t="s">
        <v>93</v>
      </c>
      <c r="D10" s="91" t="s">
        <v>13</v>
      </c>
      <c r="E10" s="92">
        <v>1.897</v>
      </c>
      <c r="F10" s="92">
        <v>18.924336</v>
      </c>
      <c r="G10" s="92">
        <v>26.9</v>
      </c>
      <c r="H10" s="93">
        <v>1.7099999999999998E-7</v>
      </c>
      <c r="I10" s="94">
        <v>29.62025316455696</v>
      </c>
      <c r="J10" s="91">
        <v>7.1999999999999995E-2</v>
      </c>
      <c r="K10" s="91"/>
      <c r="L10" s="91" t="s">
        <v>105</v>
      </c>
    </row>
    <row r="11" spans="2:12" ht="12" customHeight="1">
      <c r="B11" s="91" t="s">
        <v>106</v>
      </c>
      <c r="C11" s="91" t="s">
        <v>100</v>
      </c>
      <c r="D11" s="91">
        <v>0.66800000000000004</v>
      </c>
      <c r="E11" s="92">
        <v>0.56916167664670658</v>
      </c>
      <c r="F11" s="92">
        <v>63.917644311377252</v>
      </c>
      <c r="G11" s="92">
        <v>0.47305389221556882</v>
      </c>
      <c r="H11" s="93">
        <v>3.0699999999999998E-7</v>
      </c>
      <c r="I11" s="94">
        <v>47.140999999999998</v>
      </c>
      <c r="J11" s="91">
        <v>5.0406439616531934E-2</v>
      </c>
      <c r="K11" s="91"/>
      <c r="L11" s="91" t="s">
        <v>107</v>
      </c>
    </row>
    <row r="12" spans="2:12" ht="12" customHeight="1">
      <c r="B12" s="91" t="s">
        <v>108</v>
      </c>
      <c r="C12" s="91" t="s">
        <v>93</v>
      </c>
      <c r="D12" s="91" t="s">
        <v>13</v>
      </c>
      <c r="E12" s="92">
        <v>0.69599999999999995</v>
      </c>
      <c r="F12" s="92">
        <v>54.009720000000002</v>
      </c>
      <c r="G12" s="92">
        <v>4</v>
      </c>
      <c r="H12" s="93">
        <v>7.4599999999999993E-7</v>
      </c>
      <c r="I12" s="94">
        <v>46.3</v>
      </c>
      <c r="J12" s="91">
        <v>5.9884573561520847E-2</v>
      </c>
      <c r="K12" s="91"/>
      <c r="L12" s="91" t="s">
        <v>109</v>
      </c>
    </row>
    <row r="13" spans="2:12" ht="12" customHeight="1">
      <c r="B13" s="91" t="s">
        <v>110</v>
      </c>
      <c r="C13" s="91" t="s">
        <v>100</v>
      </c>
      <c r="D13" s="91">
        <v>0.93</v>
      </c>
      <c r="E13" s="92">
        <v>0.41634408602150536</v>
      </c>
      <c r="F13" s="92">
        <v>5.5869019354838709</v>
      </c>
      <c r="G13" s="92">
        <v>1.5881720430107527</v>
      </c>
      <c r="H13" s="93">
        <v>4.741935483870968E-8</v>
      </c>
      <c r="I13" s="94">
        <v>21.6</v>
      </c>
      <c r="J13" s="91">
        <v>1.8518518518518517E-2</v>
      </c>
      <c r="K13" s="91"/>
      <c r="L13" s="91"/>
    </row>
    <row r="14" spans="2:12" ht="12" customHeight="1">
      <c r="B14" s="91" t="s">
        <v>111</v>
      </c>
      <c r="C14" s="91" t="s">
        <v>93</v>
      </c>
      <c r="D14" s="91" t="s">
        <v>13</v>
      </c>
      <c r="E14" s="92">
        <v>0.159</v>
      </c>
      <c r="F14" s="92">
        <v>1.9677960000000001</v>
      </c>
      <c r="G14" s="92">
        <v>1</v>
      </c>
      <c r="H14" s="93">
        <v>9.2599999999999999E-9</v>
      </c>
      <c r="I14" s="94">
        <v>16</v>
      </c>
      <c r="J14" s="91">
        <v>0.10274999999999999</v>
      </c>
      <c r="K14" s="91"/>
      <c r="L14" s="91"/>
    </row>
    <row r="15" spans="2:12" ht="12" customHeight="1"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</row>
    <row r="16" spans="2:12" ht="12" customHeight="1">
      <c r="B16" s="91">
        <v>1</v>
      </c>
      <c r="C16" s="91">
        <v>2</v>
      </c>
      <c r="D16" s="91">
        <v>3</v>
      </c>
      <c r="E16" s="91">
        <v>4</v>
      </c>
      <c r="F16" s="91">
        <v>5</v>
      </c>
      <c r="G16" s="91">
        <v>6</v>
      </c>
      <c r="H16" s="91">
        <v>7</v>
      </c>
      <c r="I16" s="91">
        <v>8</v>
      </c>
      <c r="J16" s="91"/>
      <c r="K16" s="91"/>
      <c r="L16" s="91"/>
    </row>
    <row r="17" spans="2:9" ht="12" customHeight="1"/>
    <row r="18" spans="2:9" ht="12" customHeight="1">
      <c r="B18" s="91" t="s">
        <v>112</v>
      </c>
      <c r="C18" s="91" t="s">
        <v>113</v>
      </c>
      <c r="D18" s="91" t="s">
        <v>114</v>
      </c>
      <c r="E18" s="91" t="s">
        <v>115</v>
      </c>
      <c r="F18" s="91" t="s">
        <v>116</v>
      </c>
      <c r="G18" s="91" t="s">
        <v>117</v>
      </c>
      <c r="H18" s="91" t="s">
        <v>118</v>
      </c>
      <c r="I18" s="91" t="s">
        <v>119</v>
      </c>
    </row>
    <row r="19" spans="2:9" ht="12" customHeight="1">
      <c r="B19" s="91" t="s">
        <v>120</v>
      </c>
      <c r="C19" s="95">
        <v>0.25</v>
      </c>
      <c r="D19" s="95">
        <v>0.5</v>
      </c>
      <c r="E19" s="95">
        <v>0</v>
      </c>
      <c r="F19" s="95">
        <v>0.75</v>
      </c>
      <c r="G19" s="95">
        <v>0.33333333333333331</v>
      </c>
      <c r="H19" s="95">
        <v>0.66666666666666663</v>
      </c>
      <c r="I19" s="95">
        <v>0</v>
      </c>
    </row>
    <row r="20" spans="2:9" ht="12" customHeight="1">
      <c r="B20" s="91" t="s">
        <v>121</v>
      </c>
      <c r="C20" s="95">
        <v>0.3</v>
      </c>
      <c r="D20" s="95">
        <v>0.3</v>
      </c>
      <c r="E20" s="95">
        <v>0.2</v>
      </c>
      <c r="F20" s="95">
        <v>0.8</v>
      </c>
      <c r="G20" s="95">
        <v>0.37499999999999994</v>
      </c>
      <c r="H20" s="95">
        <v>0.37499999999999994</v>
      </c>
      <c r="I20" s="95">
        <v>0.25</v>
      </c>
    </row>
    <row r="21" spans="2:9" ht="12" customHeight="1">
      <c r="B21" s="91" t="s">
        <v>122</v>
      </c>
      <c r="C21" s="95">
        <v>0.3</v>
      </c>
      <c r="D21" s="95">
        <v>0.45</v>
      </c>
      <c r="E21" s="95">
        <v>0</v>
      </c>
      <c r="F21" s="95">
        <v>0.75</v>
      </c>
      <c r="G21" s="95">
        <v>0.39999999999999997</v>
      </c>
      <c r="H21" s="95">
        <v>0.6</v>
      </c>
      <c r="I21" s="95">
        <v>0</v>
      </c>
    </row>
    <row r="22" spans="2:9" ht="12" customHeight="1">
      <c r="B22" s="91" t="s">
        <v>123</v>
      </c>
      <c r="C22" s="95">
        <v>0.3</v>
      </c>
      <c r="D22" s="95">
        <v>0.4</v>
      </c>
      <c r="E22" s="95">
        <v>0</v>
      </c>
      <c r="F22" s="95">
        <v>0.7</v>
      </c>
      <c r="G22" s="95">
        <v>0.4285714285714286</v>
      </c>
      <c r="H22" s="95">
        <v>0.57142857142857151</v>
      </c>
      <c r="I22" s="95">
        <v>0</v>
      </c>
    </row>
    <row r="23" spans="2:9" ht="12" customHeight="1"/>
    <row r="24" spans="2:9" ht="12" customHeight="1"/>
    <row r="25" spans="2:9" ht="12" customHeight="1"/>
    <row r="26" spans="2:9" ht="12" customHeight="1"/>
    <row r="27" spans="2:9" ht="12" customHeight="1"/>
    <row r="28" spans="2:9" ht="12" customHeight="1"/>
    <row r="29" spans="2:9" ht="12" customHeight="1"/>
    <row r="30" spans="2:9" ht="12" customHeight="1"/>
    <row r="31" spans="2:9" ht="12" customHeight="1"/>
    <row r="32" spans="2:9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91" workbookViewId="0"/>
  </sheetViews>
  <sheetFormatPr defaultColWidth="14.453125" defaultRowHeight="15" customHeight="1"/>
  <cols>
    <col min="1" max="1" width="3.81640625" customWidth="1"/>
    <col min="2" max="2" width="11.26953125" customWidth="1"/>
    <col min="3" max="3" width="47.453125" customWidth="1"/>
    <col min="4" max="4" width="13.08984375" customWidth="1"/>
    <col min="5" max="5" width="10.453125" customWidth="1"/>
    <col min="6" max="6" width="9" customWidth="1"/>
    <col min="8" max="8" width="13.08984375" customWidth="1"/>
    <col min="9" max="9" width="10.453125" customWidth="1"/>
    <col min="10" max="10" width="12.26953125" customWidth="1"/>
    <col min="12" max="12" width="14.08984375" customWidth="1"/>
    <col min="13" max="13" width="10.453125" customWidth="1"/>
    <col min="14" max="14" width="9" customWidth="1"/>
    <col min="16" max="16" width="13" customWidth="1"/>
    <col min="17" max="17" width="10.453125" customWidth="1"/>
    <col min="18" max="18" width="9" customWidth="1"/>
    <col min="20" max="26" width="10.81640625" customWidth="1"/>
  </cols>
  <sheetData>
    <row r="1" spans="1:26" ht="12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2" customHeight="1">
      <c r="A2" s="37"/>
      <c r="B2" s="96" t="s">
        <v>124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" customHeight="1">
      <c r="A3" s="37"/>
      <c r="B3" s="97"/>
      <c r="C3" s="37"/>
      <c r="D3" s="37"/>
      <c r="E3" s="37"/>
      <c r="F3" s="37"/>
      <c r="G3" s="37"/>
      <c r="H3" s="37">
        <f>0.0189*2400*(375/2400)</f>
        <v>7.0875000000000004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" customHeight="1">
      <c r="A4" s="37"/>
      <c r="B4" s="97" t="s">
        <v>125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" customHeight="1">
      <c r="A6" s="37"/>
      <c r="B6" s="3"/>
      <c r="C6" s="3"/>
      <c r="D6" s="160" t="s">
        <v>11</v>
      </c>
      <c r="E6" s="151"/>
      <c r="F6" s="151"/>
      <c r="G6" s="151"/>
      <c r="H6" s="160" t="s">
        <v>66</v>
      </c>
      <c r="I6" s="151"/>
      <c r="J6" s="151"/>
      <c r="K6" s="151"/>
      <c r="L6" s="160" t="s">
        <v>67</v>
      </c>
      <c r="M6" s="151"/>
      <c r="N6" s="151"/>
      <c r="O6" s="151"/>
      <c r="P6" s="160" t="s">
        <v>68</v>
      </c>
      <c r="Q6" s="151"/>
      <c r="R6" s="151"/>
      <c r="S6" s="151"/>
      <c r="T6" s="59" t="s">
        <v>126</v>
      </c>
      <c r="U6" s="37"/>
      <c r="V6" s="37"/>
      <c r="W6" s="37"/>
      <c r="X6" s="37"/>
      <c r="Y6" s="37"/>
      <c r="Z6" s="37"/>
    </row>
    <row r="7" spans="1:26" ht="12" customHeight="1">
      <c r="A7" s="37"/>
      <c r="B7" s="3" t="s">
        <v>16</v>
      </c>
      <c r="C7" s="3" t="s">
        <v>17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5</v>
      </c>
      <c r="I7" s="8" t="s">
        <v>6</v>
      </c>
      <c r="J7" s="8" t="s">
        <v>7</v>
      </c>
      <c r="K7" s="8" t="s">
        <v>8</v>
      </c>
      <c r="L7" s="8" t="s">
        <v>5</v>
      </c>
      <c r="M7" s="8" t="s">
        <v>6</v>
      </c>
      <c r="N7" s="8" t="s">
        <v>7</v>
      </c>
      <c r="O7" s="8" t="s">
        <v>8</v>
      </c>
      <c r="P7" s="8" t="s">
        <v>5</v>
      </c>
      <c r="Q7" s="8" t="s">
        <v>6</v>
      </c>
      <c r="R7" s="8" t="s">
        <v>7</v>
      </c>
      <c r="S7" s="8" t="s">
        <v>8</v>
      </c>
      <c r="T7" s="8" t="s">
        <v>127</v>
      </c>
      <c r="U7" s="37"/>
      <c r="V7" s="37" t="s">
        <v>128</v>
      </c>
      <c r="W7" s="37"/>
      <c r="X7" s="37"/>
      <c r="Y7" s="37"/>
      <c r="Z7" s="37"/>
    </row>
    <row r="8" spans="1:26" ht="12" customHeight="1">
      <c r="A8" s="37"/>
      <c r="B8" s="37" t="s">
        <v>129</v>
      </c>
      <c r="C8" s="37" t="s">
        <v>130</v>
      </c>
      <c r="D8" s="98">
        <f t="shared" ref="D8:G13" si="0">H8+L8+P8</f>
        <v>340.28856999999999</v>
      </c>
      <c r="E8" s="98">
        <f t="shared" si="0"/>
        <v>2341.1183021999996</v>
      </c>
      <c r="F8" s="98">
        <f t="shared" si="0"/>
        <v>3971.6892632000004</v>
      </c>
      <c r="G8" s="99">
        <f t="shared" si="0"/>
        <v>1.337213533E-5</v>
      </c>
      <c r="H8" s="100">
        <f>0.183+74.2+247</f>
        <v>321.38300000000004</v>
      </c>
      <c r="I8" s="100">
        <f>41.868*(0.0446+24.7+24.2)</f>
        <v>2049.2125127999998</v>
      </c>
      <c r="J8" s="100">
        <f>1000*(0.000254+0.883+2.95)</f>
        <v>3833.2540000000004</v>
      </c>
      <c r="K8" s="101">
        <f>2.33*10^-12+3.08*10^-6+8.16*10^-6</f>
        <v>1.1240002330000001E-5</v>
      </c>
      <c r="L8" s="102">
        <f>12.3+0.00557+1.14</f>
        <v>13.445570000000002</v>
      </c>
      <c r="M8" s="102">
        <f>41.868*(4.51+0.00205+0.42)</f>
        <v>206.49506939999998</v>
      </c>
      <c r="N8" s="102">
        <f>1000*(0.0438+1.99*10^-5+0.00408)</f>
        <v>47.899900000000002</v>
      </c>
      <c r="O8" s="103">
        <f>1.95*10^-6+8.85*10^-10+1.81*10^-7</f>
        <v>2.1318850000000001E-6</v>
      </c>
      <c r="P8" s="104">
        <f t="shared" ref="P8:P13" si="1">5.46</f>
        <v>5.46</v>
      </c>
      <c r="Q8" s="104">
        <f t="shared" ref="Q8:Q13" si="2">41.868*(2.04)</f>
        <v>85.410720000000012</v>
      </c>
      <c r="R8" s="104">
        <f t="shared" ref="R8:R13" si="3">1.06*Q8</f>
        <v>90.53536320000002</v>
      </c>
      <c r="S8" s="105">
        <f t="shared" ref="S8:S13" si="4">2.48*10^-10</f>
        <v>2.4800000000000002E-10</v>
      </c>
      <c r="T8" s="38">
        <v>1</v>
      </c>
      <c r="U8" s="37"/>
      <c r="V8" s="37" t="s">
        <v>131</v>
      </c>
      <c r="W8" s="37">
        <v>1.8499999999999999E-2</v>
      </c>
      <c r="X8" s="37"/>
      <c r="Y8" s="37"/>
      <c r="Z8" s="37"/>
    </row>
    <row r="9" spans="1:26" ht="12" customHeight="1">
      <c r="A9" s="37"/>
      <c r="B9" s="37" t="s">
        <v>129</v>
      </c>
      <c r="C9" s="37" t="s">
        <v>132</v>
      </c>
      <c r="D9" s="98">
        <f t="shared" si="0"/>
        <v>355.4101</v>
      </c>
      <c r="E9" s="98">
        <f t="shared" si="0"/>
        <v>2547.5296355999999</v>
      </c>
      <c r="F9" s="98">
        <f t="shared" si="0"/>
        <v>4149.7761632000002</v>
      </c>
      <c r="G9" s="99">
        <f t="shared" si="0"/>
        <v>1.4019022679999999E-5</v>
      </c>
      <c r="H9" s="100">
        <f>0.369+88.9+247</f>
        <v>336.26900000000001</v>
      </c>
      <c r="I9" s="100">
        <f>41.868*(0.0896+29.5+24.2)</f>
        <v>2252.0629727999999</v>
      </c>
      <c r="J9" s="100">
        <f>1000*(0.000511+1.06+2.95)</f>
        <v>4010.511</v>
      </c>
      <c r="K9" s="101">
        <f>4.68*10^-12+3.69*10^-6+8.16*10^-6</f>
        <v>1.1850004679999999E-5</v>
      </c>
      <c r="L9" s="102">
        <f>12.3+0.0111+1.37</f>
        <v>13.681100000000001</v>
      </c>
      <c r="M9" s="102">
        <f>41.868*(4.51+0.0041+0.503)</f>
        <v>210.05594280000003</v>
      </c>
      <c r="N9" s="102">
        <f>1000*(0.0438+3.98*10^-5+0.00489)</f>
        <v>48.729799999999997</v>
      </c>
      <c r="O9" s="103">
        <f>1.95*10^-6+1.77*10^-9+2.17*10^-7</f>
        <v>2.1687699999999999E-6</v>
      </c>
      <c r="P9" s="104">
        <f t="shared" si="1"/>
        <v>5.46</v>
      </c>
      <c r="Q9" s="104">
        <f t="shared" si="2"/>
        <v>85.410720000000012</v>
      </c>
      <c r="R9" s="104">
        <f t="shared" si="3"/>
        <v>90.53536320000002</v>
      </c>
      <c r="S9" s="105">
        <f t="shared" si="4"/>
        <v>2.4800000000000002E-10</v>
      </c>
      <c r="T9" s="38">
        <v>1</v>
      </c>
      <c r="U9" s="37"/>
      <c r="V9" s="37" t="s">
        <v>133</v>
      </c>
      <c r="W9" s="37">
        <f>0.00567*41.868</f>
        <v>0.23739156</v>
      </c>
      <c r="X9" s="37"/>
      <c r="Y9" s="37"/>
      <c r="Z9" s="37"/>
    </row>
    <row r="10" spans="1:26" ht="12" customHeight="1">
      <c r="A10" s="37"/>
      <c r="B10" s="37" t="s">
        <v>129</v>
      </c>
      <c r="C10" s="37" t="s">
        <v>134</v>
      </c>
      <c r="D10" s="98">
        <f t="shared" si="0"/>
        <v>356.40209999999996</v>
      </c>
      <c r="E10" s="98">
        <f t="shared" si="0"/>
        <v>2564.2148709600001</v>
      </c>
      <c r="F10" s="98">
        <f t="shared" si="0"/>
        <v>4160.3749631999999</v>
      </c>
      <c r="G10" s="99">
        <f t="shared" si="0"/>
        <v>1.405323736E-5</v>
      </c>
      <c r="H10" s="100">
        <f>0.737+89.5+247</f>
        <v>337.23699999999997</v>
      </c>
      <c r="I10" s="100">
        <f>41.868*(0.179+29.8+24.2)</f>
        <v>2268.3663720000004</v>
      </c>
      <c r="J10" s="100">
        <f>1000*(0.00102+1.07+2.95)</f>
        <v>4021.02</v>
      </c>
      <c r="K10" s="101">
        <f>9.36*10^-12+3.72*10^-6+8.16*10^-6</f>
        <v>1.188000936E-5</v>
      </c>
      <c r="L10" s="102">
        <f>12.3+0.0251+1.38</f>
        <v>13.705100000000002</v>
      </c>
      <c r="M10" s="102">
        <f>41.868*(4.51+0.00922+0.507)</f>
        <v>210.43777895999997</v>
      </c>
      <c r="N10" s="102">
        <f>1000*(0.0438+8.96*10^-5+0.00493)</f>
        <v>48.819600000000001</v>
      </c>
      <c r="O10" s="103">
        <f>1.95*10^-6+3.98*10^-9+2.19*10^-7</f>
        <v>2.1729800000000001E-6</v>
      </c>
      <c r="P10" s="104">
        <f t="shared" si="1"/>
        <v>5.46</v>
      </c>
      <c r="Q10" s="104">
        <f t="shared" si="2"/>
        <v>85.410720000000012</v>
      </c>
      <c r="R10" s="104">
        <f t="shared" si="3"/>
        <v>90.53536320000002</v>
      </c>
      <c r="S10" s="105">
        <f t="shared" si="4"/>
        <v>2.4800000000000002E-10</v>
      </c>
      <c r="T10" s="38">
        <v>1</v>
      </c>
      <c r="U10" s="37"/>
      <c r="V10" s="37" t="s">
        <v>135</v>
      </c>
      <c r="W10" s="37">
        <f>0</f>
        <v>0</v>
      </c>
      <c r="X10" s="37"/>
      <c r="Y10" s="37"/>
      <c r="Z10" s="37"/>
    </row>
    <row r="11" spans="1:26" ht="12" customHeight="1">
      <c r="A11" s="37"/>
      <c r="B11" s="37" t="s">
        <v>129</v>
      </c>
      <c r="C11" s="37" t="s">
        <v>136</v>
      </c>
      <c r="D11" s="98">
        <f t="shared" si="0"/>
        <v>89.068570000000037</v>
      </c>
      <c r="E11" s="98">
        <f t="shared" si="0"/>
        <v>1453.5167021999996</v>
      </c>
      <c r="F11" s="98">
        <f t="shared" si="0"/>
        <v>3187.2892632000003</v>
      </c>
      <c r="G11" s="99">
        <f t="shared" si="0"/>
        <v>6.2383353300000009E-6</v>
      </c>
      <c r="H11" s="100">
        <f>H8+H14</f>
        <v>70.163000000000039</v>
      </c>
      <c r="I11" s="100">
        <f>I8+I14</f>
        <v>1161.6109127999996</v>
      </c>
      <c r="J11" s="100">
        <f>J8+J14</f>
        <v>3048.8540000000003</v>
      </c>
      <c r="K11" s="101">
        <f>K8+K14</f>
        <v>4.1062023300000004E-6</v>
      </c>
      <c r="L11" s="102">
        <f>12.3+0.00557+1.14</f>
        <v>13.445570000000002</v>
      </c>
      <c r="M11" s="102">
        <f>41.868*(4.51+0.00205+0.42)</f>
        <v>206.49506939999998</v>
      </c>
      <c r="N11" s="102">
        <f>1000*(0.0438+1.99*10^-5+0.00408)</f>
        <v>47.899900000000002</v>
      </c>
      <c r="O11" s="103">
        <f>1.95*10^-6+8.85*10^-10+1.81*10^-7</f>
        <v>2.1318850000000001E-6</v>
      </c>
      <c r="P11" s="104">
        <f t="shared" si="1"/>
        <v>5.46</v>
      </c>
      <c r="Q11" s="104">
        <f t="shared" si="2"/>
        <v>85.410720000000012</v>
      </c>
      <c r="R11" s="104">
        <f t="shared" si="3"/>
        <v>90.53536320000002</v>
      </c>
      <c r="S11" s="105">
        <f t="shared" si="4"/>
        <v>2.4800000000000002E-10</v>
      </c>
      <c r="T11" s="38">
        <v>1</v>
      </c>
      <c r="U11" s="37"/>
      <c r="V11" s="37"/>
      <c r="W11" s="37"/>
      <c r="X11" s="37"/>
      <c r="Y11" s="37"/>
      <c r="Z11" s="37"/>
    </row>
    <row r="12" spans="1:26" ht="12" customHeight="1">
      <c r="A12" s="37"/>
      <c r="B12" s="37" t="s">
        <v>129</v>
      </c>
      <c r="C12" s="37" t="s">
        <v>137</v>
      </c>
      <c r="D12" s="98">
        <f t="shared" si="0"/>
        <v>104.1901</v>
      </c>
      <c r="E12" s="98">
        <f t="shared" si="0"/>
        <v>1659.9280355999997</v>
      </c>
      <c r="F12" s="98">
        <f t="shared" si="0"/>
        <v>3365.3761632000001</v>
      </c>
      <c r="G12" s="99">
        <f t="shared" si="0"/>
        <v>6.885222679999999E-6</v>
      </c>
      <c r="H12" s="100">
        <f>H9+H14</f>
        <v>85.049000000000007</v>
      </c>
      <c r="I12" s="100">
        <f>I9+I14</f>
        <v>1364.4613727999997</v>
      </c>
      <c r="J12" s="100">
        <f>J9+J14</f>
        <v>3226.1109999999999</v>
      </c>
      <c r="K12" s="101">
        <f>K9+K14</f>
        <v>4.716204679999999E-6</v>
      </c>
      <c r="L12" s="102">
        <f>12.3+0.0111+1.37</f>
        <v>13.681100000000001</v>
      </c>
      <c r="M12" s="102">
        <f>41.868*(4.51+0.0041+0.503)</f>
        <v>210.05594280000003</v>
      </c>
      <c r="N12" s="102">
        <f>1000*(0.0438+3.98*10^-5+0.00489)</f>
        <v>48.729799999999997</v>
      </c>
      <c r="O12" s="103">
        <f>1.95*10^-6+1.77*10^-9+2.17*10^-7</f>
        <v>2.1687699999999999E-6</v>
      </c>
      <c r="P12" s="104">
        <f t="shared" si="1"/>
        <v>5.46</v>
      </c>
      <c r="Q12" s="104">
        <f t="shared" si="2"/>
        <v>85.410720000000012</v>
      </c>
      <c r="R12" s="104">
        <f t="shared" si="3"/>
        <v>90.53536320000002</v>
      </c>
      <c r="S12" s="105">
        <f t="shared" si="4"/>
        <v>2.4800000000000002E-10</v>
      </c>
      <c r="T12" s="38">
        <v>1</v>
      </c>
      <c r="U12" s="37"/>
      <c r="V12" s="37"/>
      <c r="W12" s="37"/>
      <c r="X12" s="37"/>
      <c r="Y12" s="37"/>
      <c r="Z12" s="37"/>
    </row>
    <row r="13" spans="1:26" ht="12" customHeight="1">
      <c r="A13" s="37"/>
      <c r="B13" s="37" t="s">
        <v>129</v>
      </c>
      <c r="C13" s="37" t="s">
        <v>138</v>
      </c>
      <c r="D13" s="98">
        <f t="shared" si="0"/>
        <v>105.18209999999996</v>
      </c>
      <c r="E13" s="98">
        <f t="shared" si="0"/>
        <v>1676.6132709600004</v>
      </c>
      <c r="F13" s="98">
        <f t="shared" si="0"/>
        <v>3375.9749631999998</v>
      </c>
      <c r="G13" s="99">
        <f t="shared" si="0"/>
        <v>6.9194373600000002E-6</v>
      </c>
      <c r="H13" s="100">
        <f>H10+H14</f>
        <v>86.016999999999967</v>
      </c>
      <c r="I13" s="100">
        <f>I10+I14</f>
        <v>1380.7647720000002</v>
      </c>
      <c r="J13" s="100">
        <f>J10+J14</f>
        <v>3236.62</v>
      </c>
      <c r="K13" s="101">
        <f>K10+K14</f>
        <v>4.7462093599999996E-6</v>
      </c>
      <c r="L13" s="102">
        <f>12.3+0.0251+1.38</f>
        <v>13.705100000000002</v>
      </c>
      <c r="M13" s="102">
        <f>41.868*(4.51+0.00922+0.507)</f>
        <v>210.43777895999997</v>
      </c>
      <c r="N13" s="102">
        <f>1000*(0.0438+8.96*10^-5+0.00493)</f>
        <v>48.819600000000001</v>
      </c>
      <c r="O13" s="103">
        <f>1.95*10^-6+3.98*10^-9+2.19*10^-7</f>
        <v>2.1729800000000001E-6</v>
      </c>
      <c r="P13" s="104">
        <f t="shared" si="1"/>
        <v>5.46</v>
      </c>
      <c r="Q13" s="104">
        <f t="shared" si="2"/>
        <v>85.410720000000012</v>
      </c>
      <c r="R13" s="104">
        <f t="shared" si="3"/>
        <v>90.53536320000002</v>
      </c>
      <c r="S13" s="105">
        <f t="shared" si="4"/>
        <v>2.4800000000000002E-10</v>
      </c>
      <c r="T13" s="38">
        <v>1</v>
      </c>
      <c r="U13" s="37"/>
      <c r="V13" s="37"/>
      <c r="W13" s="37"/>
      <c r="X13" s="37"/>
      <c r="Y13" s="37"/>
      <c r="Z13" s="37"/>
    </row>
    <row r="14" spans="1:26" ht="12" customHeight="1">
      <c r="A14" s="37"/>
      <c r="B14" s="37"/>
      <c r="C14" s="37" t="s">
        <v>139</v>
      </c>
      <c r="D14" s="98"/>
      <c r="E14" s="98"/>
      <c r="F14" s="98"/>
      <c r="G14" s="99"/>
      <c r="H14" s="106">
        <f>-1.06*237</f>
        <v>-251.22</v>
      </c>
      <c r="I14" s="106">
        <f>-1.06*20*41.868</f>
        <v>-887.60160000000019</v>
      </c>
      <c r="J14" s="106">
        <f>-1.06*0.74*1000</f>
        <v>-784.4</v>
      </c>
      <c r="K14" s="107">
        <f>-1.06*6.73*10^-6</f>
        <v>-7.1338000000000002E-6</v>
      </c>
      <c r="L14" s="102"/>
      <c r="M14" s="102"/>
      <c r="N14" s="102"/>
      <c r="O14" s="103"/>
      <c r="P14" s="104"/>
      <c r="Q14" s="104"/>
      <c r="R14" s="104"/>
      <c r="S14" s="105"/>
      <c r="T14" s="38"/>
      <c r="U14" s="37"/>
      <c r="V14" s="37"/>
      <c r="W14" s="37"/>
      <c r="X14" s="37"/>
      <c r="Y14" s="37"/>
      <c r="Z14" s="37"/>
    </row>
    <row r="15" spans="1:26" ht="12" customHeight="1">
      <c r="A15" s="37"/>
      <c r="B15" s="37" t="s">
        <v>140</v>
      </c>
      <c r="C15" s="37" t="s">
        <v>141</v>
      </c>
      <c r="D15" s="98">
        <f t="shared" ref="D15:D25" si="5">H15+L15+P15</f>
        <v>13.85843</v>
      </c>
      <c r="E15" s="98">
        <f t="shared" ref="E15:E25" si="6">I15+M15+Q15</f>
        <v>189.424313496</v>
      </c>
      <c r="F15" s="98">
        <f t="shared" ref="F15:F25" si="7">J15+N15+R15</f>
        <v>192.01184738576001</v>
      </c>
      <c r="G15" s="99">
        <f t="shared" ref="G15:G25" si="8">K15+O15+S15</f>
        <v>2.2186699999999998E-7</v>
      </c>
      <c r="H15" s="100">
        <v>2.37</v>
      </c>
      <c r="I15" s="100">
        <f>41.868*0.667</f>
        <v>27.925956000000003</v>
      </c>
      <c r="J15" s="100">
        <f>1000*0.0215</f>
        <v>21.5</v>
      </c>
      <c r="K15" s="101">
        <f>2.13*10^-7</f>
        <v>2.1299999999999999E-7</v>
      </c>
      <c r="L15" s="102">
        <v>5.2900000000000003E-2</v>
      </c>
      <c r="M15" s="102">
        <f>41.868*0.0195</f>
        <v>0.81642599999999999</v>
      </c>
      <c r="N15" s="102">
        <f>1000*0.000189</f>
        <v>0.189</v>
      </c>
      <c r="O15" s="103">
        <f>8.4*10^-9</f>
        <v>8.4000000000000008E-9</v>
      </c>
      <c r="P15" s="104">
        <v>11.43553</v>
      </c>
      <c r="Q15" s="104">
        <f>41.868*3.837822</f>
        <v>160.681931496</v>
      </c>
      <c r="R15" s="104">
        <f>1.06*Q15</f>
        <v>170.32284738576001</v>
      </c>
      <c r="S15" s="105">
        <f>4.67*10^-10</f>
        <v>4.6700000000000004E-10</v>
      </c>
      <c r="T15" s="38">
        <v>1</v>
      </c>
      <c r="U15" s="37"/>
      <c r="V15" s="37" t="s">
        <v>142</v>
      </c>
      <c r="W15" s="37">
        <f>6.9*10^-13</f>
        <v>6.9000000000000009E-13</v>
      </c>
      <c r="X15" s="37"/>
      <c r="Y15" s="37"/>
      <c r="Z15" s="37"/>
    </row>
    <row r="16" spans="1:26" ht="12" customHeight="1">
      <c r="A16" s="37"/>
      <c r="B16" s="37" t="s">
        <v>140</v>
      </c>
      <c r="C16" s="37" t="s">
        <v>143</v>
      </c>
      <c r="D16" s="98">
        <f t="shared" si="5"/>
        <v>19.783321999999998</v>
      </c>
      <c r="E16" s="98">
        <f t="shared" si="6"/>
        <v>284.98961448</v>
      </c>
      <c r="F16" s="98">
        <f t="shared" si="7"/>
        <v>246.80984738576001</v>
      </c>
      <c r="G16" s="99">
        <f t="shared" si="8"/>
        <v>6.914669999999999E-7</v>
      </c>
      <c r="H16" s="100">
        <v>7.5202179999999998</v>
      </c>
      <c r="I16" s="100">
        <f>41.868*2.664661</f>
        <v>111.56402674800002</v>
      </c>
      <c r="J16" s="100">
        <f>1000*0.073532</f>
        <v>73.531999999999996</v>
      </c>
      <c r="K16" s="101">
        <f>5.6*10^-7</f>
        <v>5.5999999999999993E-7</v>
      </c>
      <c r="L16" s="102">
        <f>0.827574</f>
        <v>0.82757400000000003</v>
      </c>
      <c r="M16" s="102">
        <f>41.868*0.304377</f>
        <v>12.743656236000001</v>
      </c>
      <c r="N16" s="102">
        <f>1000*0.002955</f>
        <v>2.9550000000000001</v>
      </c>
      <c r="O16" s="103">
        <f>1.31*10^-7</f>
        <v>1.31E-7</v>
      </c>
      <c r="P16" s="104">
        <v>11.43553</v>
      </c>
      <c r="Q16" s="104">
        <f>41.868*3.837822</f>
        <v>160.681931496</v>
      </c>
      <c r="R16" s="104">
        <f>1.06*Q16</f>
        <v>170.32284738576001</v>
      </c>
      <c r="S16" s="105">
        <f>4.67*10^-10</f>
        <v>4.6700000000000004E-10</v>
      </c>
      <c r="T16" s="38">
        <v>1</v>
      </c>
      <c r="U16" s="37"/>
      <c r="V16" s="37"/>
      <c r="W16" s="37"/>
      <c r="X16" s="37"/>
      <c r="Y16" s="37"/>
      <c r="Z16" s="37"/>
    </row>
    <row r="17" spans="1:26" ht="12" customHeight="1">
      <c r="A17" s="37"/>
      <c r="B17" s="37" t="s">
        <v>140</v>
      </c>
      <c r="C17" s="37" t="s">
        <v>144</v>
      </c>
      <c r="D17" s="98">
        <f t="shared" si="5"/>
        <v>14.716947247566358</v>
      </c>
      <c r="E17" s="98">
        <f t="shared" si="6"/>
        <v>213.57992567969339</v>
      </c>
      <c r="F17" s="98">
        <f t="shared" si="7"/>
        <v>20.553525015952296</v>
      </c>
      <c r="G17" s="99">
        <f t="shared" si="8"/>
        <v>4.1499906410230151E-7</v>
      </c>
      <c r="H17" s="100">
        <v>3.0078444420083637</v>
      </c>
      <c r="I17" s="100">
        <v>48.685305863176644</v>
      </c>
      <c r="J17" s="100">
        <v>19.576548796029218</v>
      </c>
      <c r="K17" s="101">
        <v>3.7110688583968919E-7</v>
      </c>
      <c r="L17" s="102">
        <v>0.27357299074471741</v>
      </c>
      <c r="M17" s="102">
        <v>4.2127048675515573</v>
      </c>
      <c r="N17" s="102">
        <v>0.97697621992307848</v>
      </c>
      <c r="O17" s="103">
        <v>4.3425538375949432E-8</v>
      </c>
      <c r="P17" s="104">
        <v>11.435529814813277</v>
      </c>
      <c r="Q17" s="104">
        <v>160.68191494896519</v>
      </c>
      <c r="R17" s="104">
        <v>0</v>
      </c>
      <c r="S17" s="105">
        <v>4.6663988666290048E-10</v>
      </c>
      <c r="T17" s="38">
        <v>1</v>
      </c>
      <c r="U17" s="37"/>
      <c r="V17" s="37"/>
      <c r="W17" s="37"/>
      <c r="X17" s="37"/>
      <c r="Y17" s="37"/>
      <c r="Z17" s="37"/>
    </row>
    <row r="18" spans="1:26" ht="12" customHeight="1">
      <c r="A18" s="37"/>
      <c r="B18" s="37" t="s">
        <v>140</v>
      </c>
      <c r="C18" s="37" t="s">
        <v>145</v>
      </c>
      <c r="D18" s="98">
        <f t="shared" si="5"/>
        <v>24.518760999999998</v>
      </c>
      <c r="E18" s="98">
        <f t="shared" si="6"/>
        <v>307.27882</v>
      </c>
      <c r="F18" s="98">
        <f t="shared" si="7"/>
        <v>294.500404</v>
      </c>
      <c r="G18" s="99">
        <f t="shared" si="8"/>
        <v>9.7546699999999996E-7</v>
      </c>
      <c r="H18" s="100">
        <v>11.18845</v>
      </c>
      <c r="I18" s="100">
        <v>117.4195</v>
      </c>
      <c r="J18" s="100">
        <v>117.411</v>
      </c>
      <c r="K18" s="101">
        <f>6.74*10^-7</f>
        <v>6.7400000000000003E-7</v>
      </c>
      <c r="L18" s="102">
        <v>1.894781</v>
      </c>
      <c r="M18" s="102">
        <v>29.177420000000001</v>
      </c>
      <c r="N18" s="102">
        <v>6.7665899999999999</v>
      </c>
      <c r="O18" s="103">
        <f>3.01*10^-7</f>
        <v>3.0099999999999996E-7</v>
      </c>
      <c r="P18" s="104">
        <v>11.43553</v>
      </c>
      <c r="Q18" s="104">
        <v>160.68190000000001</v>
      </c>
      <c r="R18" s="104">
        <f>1.06*Q18</f>
        <v>170.32281400000002</v>
      </c>
      <c r="S18" s="105">
        <f>4.67*10^-10</f>
        <v>4.6700000000000004E-10</v>
      </c>
      <c r="T18" s="38">
        <v>1</v>
      </c>
      <c r="U18" s="37"/>
      <c r="V18" s="37"/>
      <c r="W18" s="37"/>
      <c r="X18" s="37"/>
      <c r="Y18" s="37"/>
      <c r="Z18" s="37"/>
    </row>
    <row r="19" spans="1:26" ht="12" customHeight="1">
      <c r="A19" s="37"/>
      <c r="B19" s="37" t="s">
        <v>140</v>
      </c>
      <c r="C19" s="37" t="s">
        <v>146</v>
      </c>
      <c r="D19" s="98">
        <f t="shared" si="5"/>
        <v>22.354942776000001</v>
      </c>
      <c r="E19" s="98">
        <f t="shared" si="6"/>
        <v>276.52233000000001</v>
      </c>
      <c r="F19" s="98">
        <f t="shared" si="7"/>
        <v>281.52427900000004</v>
      </c>
      <c r="G19" s="99">
        <f t="shared" si="8"/>
        <v>7.1502699999999993E-7</v>
      </c>
      <c r="H19" s="100">
        <v>9.2670519690000006</v>
      </c>
      <c r="I19" s="100">
        <f>90.396</f>
        <v>90.396000000000001</v>
      </c>
      <c r="J19" s="100">
        <f>105.3006</f>
        <v>105.3006</v>
      </c>
      <c r="K19" s="101">
        <f>4.52273*10^-7</f>
        <v>4.5227299999999999E-7</v>
      </c>
      <c r="L19" s="102">
        <v>1.652360807</v>
      </c>
      <c r="M19" s="102">
        <v>25.444430000000001</v>
      </c>
      <c r="N19" s="102">
        <f>5.900865</f>
        <v>5.9008649999999996</v>
      </c>
      <c r="O19" s="103">
        <f>2.62287*10^-7</f>
        <v>2.6228699999999997E-7</v>
      </c>
      <c r="P19" s="104">
        <v>11.43553</v>
      </c>
      <c r="Q19" s="104">
        <v>160.68190000000001</v>
      </c>
      <c r="R19" s="104">
        <f>1.06*Q19</f>
        <v>170.32281400000002</v>
      </c>
      <c r="S19" s="105">
        <f>4.67*10^-10</f>
        <v>4.6700000000000004E-10</v>
      </c>
      <c r="T19" s="38">
        <v>1</v>
      </c>
      <c r="U19" s="37"/>
      <c r="V19" s="37"/>
      <c r="W19" s="37"/>
      <c r="X19" s="37"/>
      <c r="Y19" s="37"/>
      <c r="Z19" s="37"/>
    </row>
    <row r="20" spans="1:26" ht="12" customHeight="1">
      <c r="A20" s="37"/>
      <c r="B20" s="37" t="s">
        <v>147</v>
      </c>
      <c r="C20" s="37" t="s">
        <v>148</v>
      </c>
      <c r="D20" s="98">
        <f t="shared" si="5"/>
        <v>21.782376405000001</v>
      </c>
      <c r="E20" s="98">
        <f t="shared" si="6"/>
        <v>284.57650298700003</v>
      </c>
      <c r="F20" s="98">
        <f t="shared" si="7"/>
        <v>254.13369851600004</v>
      </c>
      <c r="G20" s="99">
        <f t="shared" si="8"/>
        <v>9.0830669999999979E-7</v>
      </c>
      <c r="H20" s="100">
        <v>10.1852327</v>
      </c>
      <c r="I20" s="100">
        <v>121.4059405</v>
      </c>
      <c r="J20" s="100">
        <v>83.233734170000005</v>
      </c>
      <c r="K20" s="101">
        <f>8.82186*10^-7</f>
        <v>8.8218599999999982E-7</v>
      </c>
      <c r="L20" s="102">
        <v>0.161613705</v>
      </c>
      <c r="M20" s="102">
        <v>2.488662487</v>
      </c>
      <c r="N20" s="102">
        <v>0.57715034600000004</v>
      </c>
      <c r="O20" s="103">
        <f>2.56537*10^-8</f>
        <v>2.5653700000000003E-8</v>
      </c>
      <c r="P20" s="104">
        <v>11.43553</v>
      </c>
      <c r="Q20" s="104">
        <v>160.68190000000001</v>
      </c>
      <c r="R20" s="104">
        <f>1.06*Q20</f>
        <v>170.32281400000002</v>
      </c>
      <c r="S20" s="105">
        <f>4.67*10^-10</f>
        <v>4.6700000000000004E-10</v>
      </c>
      <c r="T20" s="38">
        <v>1</v>
      </c>
      <c r="U20" s="37"/>
      <c r="V20" s="37"/>
      <c r="W20" s="37"/>
      <c r="X20" s="37"/>
      <c r="Y20" s="37"/>
      <c r="Z20" s="37"/>
    </row>
    <row r="21" spans="1:26" ht="12" customHeight="1">
      <c r="A21" s="37"/>
      <c r="B21" s="37" t="s">
        <v>147</v>
      </c>
      <c r="C21" s="37" t="s">
        <v>149</v>
      </c>
      <c r="D21" s="98">
        <f t="shared" si="5"/>
        <v>19.084590980000002</v>
      </c>
      <c r="E21" s="98">
        <f t="shared" si="6"/>
        <v>252.30440468</v>
      </c>
      <c r="F21" s="98">
        <f t="shared" si="7"/>
        <v>230.04529038000001</v>
      </c>
      <c r="G21" s="99">
        <f t="shared" si="8"/>
        <v>6.6375199999999995E-7</v>
      </c>
      <c r="H21" s="100">
        <v>7.5403899799999996</v>
      </c>
      <c r="I21" s="100">
        <v>89.949093680000004</v>
      </c>
      <c r="J21" s="100">
        <v>59.334392379999997</v>
      </c>
      <c r="K21" s="101">
        <f>6.46085*10^-7</f>
        <v>6.4608499999999995E-7</v>
      </c>
      <c r="L21" s="102">
        <v>0.108671</v>
      </c>
      <c r="M21" s="102">
        <v>1.673411</v>
      </c>
      <c r="N21" s="102">
        <v>0.38808399999999998</v>
      </c>
      <c r="O21" s="103">
        <f>1.72*10^-8</f>
        <v>1.7199999999999999E-8</v>
      </c>
      <c r="P21" s="104">
        <v>11.43553</v>
      </c>
      <c r="Q21" s="104">
        <v>160.68190000000001</v>
      </c>
      <c r="R21" s="104">
        <f>1.06*Q21</f>
        <v>170.32281400000002</v>
      </c>
      <c r="S21" s="105">
        <f>4.67*10^-10</f>
        <v>4.6700000000000004E-10</v>
      </c>
      <c r="T21" s="38">
        <v>1</v>
      </c>
      <c r="U21" s="37"/>
      <c r="V21" s="37"/>
      <c r="W21" s="37"/>
      <c r="X21" s="37"/>
      <c r="Y21" s="37"/>
      <c r="Z21" s="37"/>
    </row>
    <row r="22" spans="1:26" ht="12" customHeight="1">
      <c r="A22" s="37"/>
      <c r="B22" s="37" t="s">
        <v>147</v>
      </c>
      <c r="C22" s="37" t="s">
        <v>150</v>
      </c>
      <c r="D22" s="98">
        <f t="shared" si="5"/>
        <v>19.990701367196543</v>
      </c>
      <c r="E22" s="98">
        <f t="shared" si="6"/>
        <v>262.64616039350472</v>
      </c>
      <c r="F22" s="98">
        <f t="shared" si="7"/>
        <v>219.53758033602827</v>
      </c>
      <c r="G22" s="99">
        <f t="shared" si="8"/>
        <v>1.7703050780897319E-6</v>
      </c>
      <c r="H22" s="100">
        <v>19.784225926811619</v>
      </c>
      <c r="I22" s="100">
        <v>259.46667951909097</v>
      </c>
      <c r="J22" s="100">
        <v>218.80022101177647</v>
      </c>
      <c r="K22" s="101">
        <v>1.737530252219071E-6</v>
      </c>
      <c r="L22" s="102">
        <v>0.2064754403849253</v>
      </c>
      <c r="M22" s="102">
        <v>3.179480874413716</v>
      </c>
      <c r="N22" s="102">
        <v>0.73735932425180095</v>
      </c>
      <c r="O22" s="103">
        <v>3.2774825870660807E-8</v>
      </c>
      <c r="P22" s="104">
        <v>0</v>
      </c>
      <c r="Q22" s="104">
        <v>0</v>
      </c>
      <c r="R22" s="104">
        <f>1.06*Q22</f>
        <v>0</v>
      </c>
      <c r="S22" s="105">
        <v>0</v>
      </c>
      <c r="T22" s="38">
        <v>1</v>
      </c>
      <c r="U22" s="37"/>
      <c r="V22" s="37"/>
      <c r="W22" s="37"/>
      <c r="X22" s="37"/>
      <c r="Y22" s="37"/>
      <c r="Z22" s="37"/>
    </row>
    <row r="23" spans="1:26" ht="12" customHeight="1">
      <c r="A23" s="37"/>
      <c r="B23" s="37" t="s">
        <v>147</v>
      </c>
      <c r="C23" s="37" t="s">
        <v>151</v>
      </c>
      <c r="D23" s="98">
        <f t="shared" si="5"/>
        <v>26.188723089542044</v>
      </c>
      <c r="E23" s="98">
        <f t="shared" si="6"/>
        <v>306.73507375050531</v>
      </c>
      <c r="F23" s="98">
        <f t="shared" si="7"/>
        <v>118.47896046039523</v>
      </c>
      <c r="G23" s="99">
        <f t="shared" si="8"/>
        <v>9.7505149823009673E-7</v>
      </c>
      <c r="H23" s="100">
        <v>12.88252942042792</v>
      </c>
      <c r="I23" s="100">
        <v>117.24711802923666</v>
      </c>
      <c r="J23" s="100">
        <v>111.79849798359758</v>
      </c>
      <c r="K23" s="101">
        <v>6.7764551207579834E-7</v>
      </c>
      <c r="L23" s="102">
        <v>1.8706638543008411</v>
      </c>
      <c r="M23" s="102">
        <v>28.806040772303525</v>
      </c>
      <c r="N23" s="102">
        <v>6.680462476797639</v>
      </c>
      <c r="O23" s="103">
        <v>2.9693934626763543E-7</v>
      </c>
      <c r="P23" s="104">
        <v>11.435529814813282</v>
      </c>
      <c r="Q23" s="104">
        <v>160.68191494896513</v>
      </c>
      <c r="R23" s="104">
        <v>0</v>
      </c>
      <c r="S23" s="105">
        <v>4.6663988666289986E-10</v>
      </c>
      <c r="T23" s="38">
        <v>1</v>
      </c>
      <c r="U23" s="37"/>
      <c r="V23" s="37"/>
      <c r="W23" s="37"/>
      <c r="X23" s="37"/>
      <c r="Y23" s="37"/>
      <c r="Z23" s="37"/>
    </row>
    <row r="24" spans="1:26" ht="12" customHeight="1">
      <c r="A24" s="37"/>
      <c r="B24" s="37" t="s">
        <v>147</v>
      </c>
      <c r="C24" s="37" t="s">
        <v>152</v>
      </c>
      <c r="D24" s="98">
        <f t="shared" si="5"/>
        <v>6.0107156983927545</v>
      </c>
      <c r="E24" s="98">
        <f t="shared" si="6"/>
        <v>79.645349516981156</v>
      </c>
      <c r="F24" s="98">
        <f t="shared" si="7"/>
        <v>6.5758190137203876</v>
      </c>
      <c r="G24" s="99">
        <f t="shared" si="8"/>
        <v>6.3326921111863432E-8</v>
      </c>
      <c r="H24" s="100">
        <v>0.56739703668015551</v>
      </c>
      <c r="I24" s="100">
        <v>2.8326573891973985</v>
      </c>
      <c r="J24" s="100">
        <v>5.7066634336075639</v>
      </c>
      <c r="K24" s="101">
        <v>2.4481704377131866E-8</v>
      </c>
      <c r="L24" s="102">
        <v>0.24338104320358572</v>
      </c>
      <c r="M24" s="102">
        <v>3.7477841009725577</v>
      </c>
      <c r="N24" s="102">
        <v>0.8691555801128239</v>
      </c>
      <c r="O24" s="103">
        <v>3.8633027326785461E-8</v>
      </c>
      <c r="P24" s="104">
        <v>5.1999376185090131</v>
      </c>
      <c r="Q24" s="104">
        <v>73.064908026811196</v>
      </c>
      <c r="R24" s="104">
        <v>0</v>
      </c>
      <c r="S24" s="105">
        <v>2.1218940794609932E-10</v>
      </c>
      <c r="T24" s="38">
        <v>1</v>
      </c>
      <c r="U24" s="37"/>
      <c r="V24" s="37"/>
      <c r="W24" s="37"/>
      <c r="X24" s="37"/>
      <c r="Y24" s="37"/>
      <c r="Z24" s="37"/>
    </row>
    <row r="25" spans="1:26" ht="12" customHeight="1">
      <c r="A25" s="37"/>
      <c r="B25" s="37" t="s">
        <v>147</v>
      </c>
      <c r="C25" s="37" t="s">
        <v>153</v>
      </c>
      <c r="D25" s="98">
        <f t="shared" si="5"/>
        <v>21.287159547000002</v>
      </c>
      <c r="E25" s="98">
        <f t="shared" si="6"/>
        <v>255.00799948000002</v>
      </c>
      <c r="F25" s="98">
        <f t="shared" si="7"/>
        <v>274.23755799000003</v>
      </c>
      <c r="G25" s="99">
        <f t="shared" si="8"/>
        <v>5.6137799999999996E-7</v>
      </c>
      <c r="H25" s="100">
        <v>8.2243467209999999</v>
      </c>
      <c r="I25" s="100">
        <v>69.267842619999996</v>
      </c>
      <c r="J25" s="100">
        <v>98.103437020000001</v>
      </c>
      <c r="K25" s="101">
        <f>3.02605*10^-7</f>
        <v>3.02605E-7</v>
      </c>
      <c r="L25" s="102">
        <v>1.6272828260000001</v>
      </c>
      <c r="M25" s="102">
        <v>25.05825686</v>
      </c>
      <c r="N25" s="102">
        <f>5.81130697</f>
        <v>5.8113069700000004</v>
      </c>
      <c r="O25" s="103">
        <f>2.58306*10^-7</f>
        <v>2.5830599999999998E-7</v>
      </c>
      <c r="P25" s="104">
        <v>11.43553</v>
      </c>
      <c r="Q25" s="104">
        <v>160.68190000000001</v>
      </c>
      <c r="R25" s="104">
        <f>1.06*Q25</f>
        <v>170.32281400000002</v>
      </c>
      <c r="S25" s="105">
        <f>4.67*10^-10</f>
        <v>4.6700000000000004E-10</v>
      </c>
      <c r="T25" s="38">
        <v>1</v>
      </c>
      <c r="U25" s="37"/>
      <c r="V25" s="37"/>
      <c r="W25" s="37"/>
      <c r="X25" s="37"/>
      <c r="Y25" s="37"/>
      <c r="Z25" s="37"/>
    </row>
    <row r="26" spans="1:26" ht="12" customHeight="1">
      <c r="A26" s="37"/>
      <c r="B26" s="37"/>
      <c r="C26" s="37" t="s">
        <v>154</v>
      </c>
      <c r="D26" s="98"/>
      <c r="E26" s="98"/>
      <c r="F26" s="98"/>
      <c r="G26" s="99"/>
      <c r="H26" s="106">
        <f>-1.06*4.37</f>
        <v>-4.6322000000000001</v>
      </c>
      <c r="I26" s="106">
        <f>-1.06*0.368*41.868</f>
        <v>-16.331869440000002</v>
      </c>
      <c r="J26" s="106">
        <f>-1.06*1000*0.0136</f>
        <v>-14.415999999999999</v>
      </c>
      <c r="K26" s="107">
        <f>-1.06*1.24*10^-7</f>
        <v>-1.3143999999999999E-7</v>
      </c>
      <c r="L26" s="102"/>
      <c r="M26" s="102"/>
      <c r="N26" s="102"/>
      <c r="O26" s="103"/>
      <c r="P26" s="104"/>
      <c r="Q26" s="104"/>
      <c r="R26" s="104"/>
      <c r="S26" s="105"/>
      <c r="T26" s="38"/>
      <c r="U26" s="37"/>
      <c r="V26" s="37"/>
      <c r="W26" s="37"/>
      <c r="X26" s="37"/>
      <c r="Y26" s="37"/>
      <c r="Z26" s="37"/>
    </row>
    <row r="27" spans="1:26" ht="12" customHeight="1">
      <c r="A27" s="37"/>
      <c r="B27" s="37" t="s">
        <v>147</v>
      </c>
      <c r="C27" s="37" t="s">
        <v>155</v>
      </c>
      <c r="D27" s="98">
        <f t="shared" ref="D27:D39" si="9">H27+L27+P27</f>
        <v>16.654959547000001</v>
      </c>
      <c r="E27" s="98">
        <f t="shared" ref="E27:E39" si="10">I27+M27+Q27</f>
        <v>238.67613004</v>
      </c>
      <c r="F27" s="98">
        <f t="shared" ref="F27:F39" si="11">J27+N27+R27</f>
        <v>259.82155799000003</v>
      </c>
      <c r="G27" s="99">
        <f t="shared" ref="G27:G39" si="12">K27+O27+S27</f>
        <v>4.2993799999999999E-7</v>
      </c>
      <c r="H27" s="100">
        <f>H25+H26</f>
        <v>3.5921467209999998</v>
      </c>
      <c r="I27" s="100">
        <f>I25+I26</f>
        <v>52.935973179999991</v>
      </c>
      <c r="J27" s="100">
        <f>J25+J26</f>
        <v>83.687437020000004</v>
      </c>
      <c r="K27" s="100">
        <f>K25+K26</f>
        <v>1.7116500000000001E-7</v>
      </c>
      <c r="L27" s="102">
        <v>1.6272828260000001</v>
      </c>
      <c r="M27" s="102">
        <v>25.05825686</v>
      </c>
      <c r="N27" s="102">
        <f>5.81130697</f>
        <v>5.8113069700000004</v>
      </c>
      <c r="O27" s="103">
        <f>2.58306*10^-7</f>
        <v>2.5830599999999998E-7</v>
      </c>
      <c r="P27" s="104">
        <v>11.43553</v>
      </c>
      <c r="Q27" s="104">
        <v>160.68190000000001</v>
      </c>
      <c r="R27" s="104">
        <f t="shared" ref="R27:R34" si="13">1.06*Q27</f>
        <v>170.32281400000002</v>
      </c>
      <c r="S27" s="105">
        <f>4.67*10^-10</f>
        <v>4.6700000000000004E-10</v>
      </c>
      <c r="T27" s="38">
        <v>1</v>
      </c>
      <c r="U27" s="37"/>
      <c r="V27" s="37"/>
      <c r="W27" s="37"/>
      <c r="X27" s="37"/>
      <c r="Y27" s="37"/>
      <c r="Z27" s="37"/>
    </row>
    <row r="28" spans="1:26" ht="12" customHeight="1">
      <c r="A28" s="37"/>
      <c r="B28" s="37" t="s">
        <v>147</v>
      </c>
      <c r="C28" s="37" t="s">
        <v>156</v>
      </c>
      <c r="D28" s="98">
        <f t="shared" si="9"/>
        <v>25.053595235</v>
      </c>
      <c r="E28" s="98">
        <f t="shared" si="10"/>
        <v>364.99427331000004</v>
      </c>
      <c r="F28" s="98">
        <f t="shared" si="11"/>
        <v>274.2520365725</v>
      </c>
      <c r="G28" s="99">
        <f t="shared" si="12"/>
        <v>1.2054659999999998E-6</v>
      </c>
      <c r="H28" s="100">
        <v>12.89359</v>
      </c>
      <c r="I28" s="100">
        <v>193.15629999999999</v>
      </c>
      <c r="J28" s="100">
        <v>101.342</v>
      </c>
      <c r="K28" s="101">
        <f>1.09*10^-6</f>
        <v>1.0899999999999999E-6</v>
      </c>
      <c r="L28" s="102">
        <v>0.724475235</v>
      </c>
      <c r="M28" s="102">
        <v>11.15607331</v>
      </c>
      <c r="N28" s="102">
        <v>2.5872225725</v>
      </c>
      <c r="O28" s="103">
        <f>1.14999*10^-7</f>
        <v>1.14999E-7</v>
      </c>
      <c r="P28" s="104">
        <v>11.43553</v>
      </c>
      <c r="Q28" s="104">
        <v>160.68190000000001</v>
      </c>
      <c r="R28" s="104">
        <f t="shared" si="13"/>
        <v>170.32281400000002</v>
      </c>
      <c r="S28" s="105">
        <f>4.67*10^-10</f>
        <v>4.6700000000000004E-10</v>
      </c>
      <c r="T28" s="38">
        <v>1</v>
      </c>
      <c r="U28" s="37"/>
      <c r="V28" s="37"/>
      <c r="W28" s="37"/>
      <c r="X28" s="37"/>
      <c r="Y28" s="37"/>
      <c r="Z28" s="37"/>
    </row>
    <row r="29" spans="1:26" ht="12" customHeight="1">
      <c r="A29" s="37"/>
      <c r="B29" s="37" t="s">
        <v>147</v>
      </c>
      <c r="C29" s="37" t="s">
        <v>157</v>
      </c>
      <c r="D29" s="98">
        <f t="shared" si="9"/>
        <v>8.73</v>
      </c>
      <c r="E29" s="98">
        <f t="shared" si="10"/>
        <v>108.5</v>
      </c>
      <c r="F29" s="98">
        <f t="shared" si="11"/>
        <v>58.059800000000003</v>
      </c>
      <c r="G29" s="99">
        <f t="shared" si="12"/>
        <v>2.7492900000000001E-7</v>
      </c>
      <c r="H29" s="100">
        <v>4.4000000000000004</v>
      </c>
      <c r="I29" s="100">
        <v>46</v>
      </c>
      <c r="J29" s="100">
        <v>6.86</v>
      </c>
      <c r="K29" s="101">
        <v>8.7800000000000005E-8</v>
      </c>
      <c r="L29" s="102">
        <v>1.18</v>
      </c>
      <c r="M29" s="102">
        <v>18.170000000000002</v>
      </c>
      <c r="N29" s="102">
        <v>4.21</v>
      </c>
      <c r="O29" s="103">
        <v>1.8699999999999999E-7</v>
      </c>
      <c r="P29" s="104">
        <v>3.15</v>
      </c>
      <c r="Q29" s="104">
        <v>44.33</v>
      </c>
      <c r="R29" s="104">
        <f t="shared" si="13"/>
        <v>46.989800000000002</v>
      </c>
      <c r="S29" s="105">
        <v>1.2899999999999999E-10</v>
      </c>
      <c r="T29" s="38">
        <v>1</v>
      </c>
      <c r="U29" s="37"/>
      <c r="V29" s="37"/>
      <c r="W29" s="37"/>
      <c r="X29" s="37"/>
      <c r="Y29" s="37"/>
      <c r="Z29" s="37"/>
    </row>
    <row r="30" spans="1:26" ht="12" customHeight="1">
      <c r="A30" s="37"/>
      <c r="B30" s="37" t="s">
        <v>147</v>
      </c>
      <c r="C30" s="37" t="s">
        <v>158</v>
      </c>
      <c r="D30" s="98">
        <f t="shared" si="9"/>
        <v>25.199831340999999</v>
      </c>
      <c r="E30" s="98">
        <f t="shared" si="10"/>
        <v>335.38774722000005</v>
      </c>
      <c r="F30" s="98">
        <f t="shared" si="11"/>
        <v>270.41105195600005</v>
      </c>
      <c r="G30" s="99">
        <f t="shared" si="12"/>
        <v>9.2665099999999987E-7</v>
      </c>
      <c r="H30" s="100">
        <v>12.53269345</v>
      </c>
      <c r="I30" s="100">
        <v>155.74052270000001</v>
      </c>
      <c r="J30" s="100">
        <v>95.689954259999993</v>
      </c>
      <c r="K30" s="101">
        <f>7.30685*10^-7</f>
        <v>7.3068499999999995E-7</v>
      </c>
      <c r="L30" s="102">
        <f>1.231607891</f>
        <v>1.2316078909999999</v>
      </c>
      <c r="M30" s="102">
        <f>18.96532452</f>
        <v>18.965324519999999</v>
      </c>
      <c r="N30" s="102">
        <f>4.398283696</f>
        <v>4.398283696</v>
      </c>
      <c r="O30" s="103">
        <f>1.95499*10^-7</f>
        <v>1.95499E-7</v>
      </c>
      <c r="P30" s="104">
        <v>11.43553</v>
      </c>
      <c r="Q30" s="104">
        <v>160.68190000000001</v>
      </c>
      <c r="R30" s="104">
        <f t="shared" si="13"/>
        <v>170.32281400000002</v>
      </c>
      <c r="S30" s="105">
        <f>4.67*10^-10</f>
        <v>4.6700000000000004E-10</v>
      </c>
      <c r="T30" s="38">
        <v>1</v>
      </c>
      <c r="U30" s="37"/>
      <c r="V30" s="37"/>
      <c r="W30" s="37"/>
      <c r="X30" s="37"/>
      <c r="Y30" s="37"/>
      <c r="Z30" s="37"/>
    </row>
    <row r="31" spans="1:26" ht="12" customHeight="1">
      <c r="A31" s="37"/>
      <c r="B31" s="37" t="s">
        <v>159</v>
      </c>
      <c r="C31" s="37" t="s">
        <v>160</v>
      </c>
      <c r="D31" s="98">
        <f t="shared" si="9"/>
        <v>7.9374859999999998</v>
      </c>
      <c r="E31" s="98">
        <f t="shared" si="10"/>
        <v>109.00559887200001</v>
      </c>
      <c r="F31" s="98">
        <f t="shared" si="11"/>
        <v>84.468069484320011</v>
      </c>
      <c r="G31" s="99">
        <f t="shared" si="12"/>
        <v>2.2464700000000003E-8</v>
      </c>
      <c r="H31" s="100">
        <f>3.59</f>
        <v>3.59</v>
      </c>
      <c r="I31" s="100">
        <f>41.868*1.14</f>
        <v>47.729520000000001</v>
      </c>
      <c r="J31" s="100">
        <f>1000*0.0213</f>
        <v>21.3</v>
      </c>
      <c r="K31" s="101">
        <f>9.27*10^-11</f>
        <v>9.2699999999999987E-11</v>
      </c>
      <c r="L31" s="102">
        <f>0.14</f>
        <v>0.14000000000000001</v>
      </c>
      <c r="M31" s="102">
        <f>41.868*0.0515</f>
        <v>2.156202</v>
      </c>
      <c r="N31" s="102">
        <f>1000*0.000501</f>
        <v>0.501</v>
      </c>
      <c r="O31" s="103">
        <f>2.22*10^-8</f>
        <v>2.2200000000000004E-8</v>
      </c>
      <c r="P31" s="104">
        <v>4.2074860000000003</v>
      </c>
      <c r="Q31" s="104">
        <f>41.868*1.412054</f>
        <v>59.119876871999999</v>
      </c>
      <c r="R31" s="104">
        <f t="shared" si="13"/>
        <v>62.667069484320002</v>
      </c>
      <c r="S31" s="105">
        <f>1.72*10^-10</f>
        <v>1.72E-10</v>
      </c>
      <c r="T31" s="38">
        <v>1</v>
      </c>
      <c r="U31" s="37"/>
      <c r="V31" s="37"/>
      <c r="W31" s="37"/>
      <c r="X31" s="37"/>
      <c r="Y31" s="37"/>
      <c r="Z31" s="37"/>
    </row>
    <row r="32" spans="1:26" ht="12" customHeight="1">
      <c r="A32" s="37"/>
      <c r="B32" s="37" t="s">
        <v>159</v>
      </c>
      <c r="C32" s="37" t="s">
        <v>161</v>
      </c>
      <c r="D32" s="98">
        <f t="shared" si="9"/>
        <v>11.880086</v>
      </c>
      <c r="E32" s="98">
        <f t="shared" si="10"/>
        <v>105.90192403200001</v>
      </c>
      <c r="F32" s="98">
        <f t="shared" si="11"/>
        <v>150.23456948432002</v>
      </c>
      <c r="G32" s="99">
        <f t="shared" si="12"/>
        <v>3.0133363E-7</v>
      </c>
      <c r="H32" s="100">
        <f>1.08+0.128+6.13</f>
        <v>7.3380000000000001</v>
      </c>
      <c r="I32" s="100">
        <f>41.868*(0.361+0.0311+0.602)</f>
        <v>41.620978800000003</v>
      </c>
      <c r="J32" s="100">
        <f>1000*(0.0129+0.000178+0.0733)</f>
        <v>86.378000000000014</v>
      </c>
      <c r="K32" s="101">
        <f>4.51*10^-8+1.63*10^-12+2.03*10^-7</f>
        <v>2.4810162999999999E-7</v>
      </c>
      <c r="L32" s="102">
        <f>0.304+0.0167+0.0139</f>
        <v>0.33460000000000001</v>
      </c>
      <c r="M32" s="102">
        <f>41.868*(0.112+0.00615+0.00512)</f>
        <v>5.1610683600000007</v>
      </c>
      <c r="N32" s="102">
        <f>1000*(0.00108+5.97*10^-5+4.98*10^-5)</f>
        <v>1.1895</v>
      </c>
      <c r="O32" s="103">
        <f>4.82*10^-8+2.65*10^-9+2.21*10^-9</f>
        <v>5.306E-8</v>
      </c>
      <c r="P32" s="104">
        <v>4.2074860000000003</v>
      </c>
      <c r="Q32" s="104">
        <f>41.868*1.412054</f>
        <v>59.119876871999999</v>
      </c>
      <c r="R32" s="104">
        <f t="shared" si="13"/>
        <v>62.667069484320002</v>
      </c>
      <c r="S32" s="105">
        <f>1.72*10^-10</f>
        <v>1.72E-10</v>
      </c>
      <c r="T32" s="38">
        <v>1</v>
      </c>
      <c r="U32" s="37"/>
      <c r="V32" s="37"/>
      <c r="W32" s="37"/>
      <c r="X32" s="37"/>
      <c r="Y32" s="37"/>
      <c r="Z32" s="37"/>
    </row>
    <row r="33" spans="1:26" ht="12" customHeight="1">
      <c r="A33" s="37"/>
      <c r="B33" s="37" t="s">
        <v>159</v>
      </c>
      <c r="C33" s="37" t="s">
        <v>162</v>
      </c>
      <c r="D33" s="98">
        <f t="shared" si="9"/>
        <v>12.862876</v>
      </c>
      <c r="E33" s="98">
        <f t="shared" si="10"/>
        <v>122.33511403200001</v>
      </c>
      <c r="F33" s="98">
        <f t="shared" si="11"/>
        <v>151.67106948432001</v>
      </c>
      <c r="G33" s="99">
        <f t="shared" si="12"/>
        <v>3.1977699999999999E-7</v>
      </c>
      <c r="H33" s="100">
        <v>8.3154500000000002</v>
      </c>
      <c r="I33" s="100">
        <f>41.868*1.38484</f>
        <v>57.980481120000007</v>
      </c>
      <c r="J33" s="100">
        <f>1000*0.08779</f>
        <v>87.79</v>
      </c>
      <c r="K33" s="101">
        <f>2.65605*10^-7</f>
        <v>2.6560499999999998E-7</v>
      </c>
      <c r="L33" s="102">
        <v>0.33994000000000002</v>
      </c>
      <c r="M33" s="102">
        <f>41.868*0.12503</f>
        <v>5.2347560400000006</v>
      </c>
      <c r="N33" s="102">
        <f>1000*0.001214</f>
        <v>1.214</v>
      </c>
      <c r="O33" s="103">
        <f>5.4*10^-8</f>
        <v>5.4000000000000007E-8</v>
      </c>
      <c r="P33" s="104">
        <v>4.2074860000000003</v>
      </c>
      <c r="Q33" s="104">
        <f>41.868*1.412054</f>
        <v>59.119876871999999</v>
      </c>
      <c r="R33" s="104">
        <f t="shared" si="13"/>
        <v>62.667069484320002</v>
      </c>
      <c r="S33" s="105">
        <f>1.72*10^-10</f>
        <v>1.72E-10</v>
      </c>
      <c r="T33" s="38">
        <v>1</v>
      </c>
      <c r="U33" s="37"/>
      <c r="V33" s="37"/>
      <c r="W33" s="37"/>
      <c r="X33" s="37"/>
      <c r="Y33" s="37"/>
      <c r="Z33" s="37"/>
    </row>
    <row r="34" spans="1:26" ht="12" customHeight="1">
      <c r="A34" s="37"/>
      <c r="B34" s="37" t="s">
        <v>159</v>
      </c>
      <c r="C34" s="37" t="s">
        <v>163</v>
      </c>
      <c r="D34" s="98">
        <f t="shared" si="9"/>
        <v>16.894459000000001</v>
      </c>
      <c r="E34" s="98">
        <f t="shared" si="10"/>
        <v>185.18806738800001</v>
      </c>
      <c r="F34" s="98">
        <f t="shared" si="11"/>
        <v>194.54206948431997</v>
      </c>
      <c r="G34" s="99">
        <f t="shared" si="12"/>
        <v>8.9927199999999998E-7</v>
      </c>
      <c r="H34" s="100">
        <v>12.352600000000001</v>
      </c>
      <c r="I34" s="100">
        <f>41.868*2.888106</f>
        <v>120.91922200800001</v>
      </c>
      <c r="J34" s="100">
        <f>1000*0.130681</f>
        <v>130.68099999999998</v>
      </c>
      <c r="K34" s="101">
        <f>8.46*10^-7</f>
        <v>8.4600000000000003E-7</v>
      </c>
      <c r="L34" s="102">
        <v>0.33437299999999998</v>
      </c>
      <c r="M34" s="102">
        <f>41.868*0.122981</f>
        <v>5.1489685080000003</v>
      </c>
      <c r="N34" s="102">
        <f>1000*0.001194</f>
        <v>1.194</v>
      </c>
      <c r="O34" s="103">
        <f>5.31*10^-8</f>
        <v>5.3099999999999999E-8</v>
      </c>
      <c r="P34" s="104">
        <v>4.2074860000000003</v>
      </c>
      <c r="Q34" s="104">
        <f>41.868*1.412054</f>
        <v>59.119876871999999</v>
      </c>
      <c r="R34" s="104">
        <f t="shared" si="13"/>
        <v>62.667069484320002</v>
      </c>
      <c r="S34" s="105">
        <f>1.72*10^-10</f>
        <v>1.72E-10</v>
      </c>
      <c r="T34" s="38">
        <v>1</v>
      </c>
      <c r="U34" s="37"/>
      <c r="V34" s="37"/>
      <c r="W34" s="37"/>
      <c r="X34" s="37"/>
      <c r="Y34" s="37"/>
      <c r="Z34" s="37"/>
    </row>
    <row r="35" spans="1:26" ht="12" customHeight="1">
      <c r="A35" s="37"/>
      <c r="B35" s="37" t="s">
        <v>159</v>
      </c>
      <c r="C35" s="37" t="s">
        <v>164</v>
      </c>
      <c r="D35" s="98">
        <f t="shared" si="9"/>
        <v>9.5098571457939904</v>
      </c>
      <c r="E35" s="98">
        <f t="shared" si="10"/>
        <v>72.669924984157277</v>
      </c>
      <c r="F35" s="98">
        <f t="shared" si="11"/>
        <v>106.85626173146989</v>
      </c>
      <c r="G35" s="99">
        <f t="shared" si="12"/>
        <v>3.216886455342741E-7</v>
      </c>
      <c r="H35" s="100">
        <v>9.0290310843924892</v>
      </c>
      <c r="I35" s="100">
        <v>65.877819093132601</v>
      </c>
      <c r="J35" s="100">
        <v>106.7609625662167</v>
      </c>
      <c r="K35" s="101">
        <v>3.1743416881838442E-7</v>
      </c>
      <c r="L35" s="102">
        <v>2.6685682879979262E-2</v>
      </c>
      <c r="M35" s="102">
        <v>0.41092838038937002</v>
      </c>
      <c r="N35" s="102">
        <v>9.5299165253175847E-2</v>
      </c>
      <c r="O35" s="103">
        <v>4.2359449977975502E-9</v>
      </c>
      <c r="P35" s="104">
        <v>0.45414037852152267</v>
      </c>
      <c r="Q35" s="104">
        <v>6.3811775106353155</v>
      </c>
      <c r="R35" s="104">
        <v>0</v>
      </c>
      <c r="S35" s="105">
        <v>1.8531718092135476E-11</v>
      </c>
      <c r="T35" s="38">
        <v>1</v>
      </c>
      <c r="U35" s="37"/>
      <c r="V35" s="37"/>
      <c r="W35" s="37"/>
      <c r="X35" s="37"/>
      <c r="Y35" s="37"/>
      <c r="Z35" s="37"/>
    </row>
    <row r="36" spans="1:26" ht="12" customHeight="1">
      <c r="A36" s="37"/>
      <c r="B36" s="37" t="s">
        <v>159</v>
      </c>
      <c r="C36" s="37" t="s">
        <v>165</v>
      </c>
      <c r="D36" s="98">
        <f t="shared" si="9"/>
        <v>2.4897400310000002</v>
      </c>
      <c r="E36" s="98">
        <f t="shared" si="10"/>
        <v>29.623620585096003</v>
      </c>
      <c r="F36" s="98">
        <f t="shared" si="11"/>
        <v>17.024743093936802</v>
      </c>
      <c r="G36" s="99">
        <f t="shared" si="12"/>
        <v>1.3298114668000001E-8</v>
      </c>
      <c r="H36" s="100">
        <v>1.3313426400000001</v>
      </c>
      <c r="I36" s="100">
        <v>13.286762991576001</v>
      </c>
      <c r="J36" s="100">
        <v>0.27617940999999996</v>
      </c>
      <c r="K36" s="101">
        <v>6.1757787000000008E-9</v>
      </c>
      <c r="L36" s="102">
        <v>4.4583090999999998E-2</v>
      </c>
      <c r="M36" s="102">
        <v>0.68652759924000006</v>
      </c>
      <c r="N36" s="102">
        <v>0.15921389</v>
      </c>
      <c r="O36" s="103">
        <v>7.0768855000000002E-9</v>
      </c>
      <c r="P36" s="104">
        <v>1.1138143</v>
      </c>
      <c r="Q36" s="104">
        <v>15.650329994280002</v>
      </c>
      <c r="R36" s="104">
        <f>1.06*Q36</f>
        <v>16.589349793936801</v>
      </c>
      <c r="S36" s="105">
        <v>4.5450468000000001E-11</v>
      </c>
      <c r="T36" s="38">
        <v>1</v>
      </c>
      <c r="U36" s="37"/>
      <c r="V36" s="37"/>
      <c r="W36" s="37"/>
      <c r="X36" s="37"/>
      <c r="Y36" s="37"/>
      <c r="Z36" s="37"/>
    </row>
    <row r="37" spans="1:26" ht="12" customHeight="1">
      <c r="A37" s="37"/>
      <c r="B37" s="37" t="s">
        <v>159</v>
      </c>
      <c r="C37" s="37" t="s">
        <v>166</v>
      </c>
      <c r="D37" s="98">
        <f t="shared" si="9"/>
        <v>5.7108859999999995</v>
      </c>
      <c r="E37" s="98">
        <f t="shared" si="10"/>
        <v>84.200064912000002</v>
      </c>
      <c r="F37" s="98">
        <f t="shared" si="11"/>
        <v>131.04856948432001</v>
      </c>
      <c r="G37" s="99">
        <f t="shared" si="12"/>
        <v>1.2643363000000001E-7</v>
      </c>
      <c r="H37" s="100">
        <f>H32+H40</f>
        <v>1.1687999999999992</v>
      </c>
      <c r="I37" s="100">
        <f>I32+I40</f>
        <v>19.919119680000001</v>
      </c>
      <c r="J37" s="100">
        <f>J32+J40</f>
        <v>67.192000000000007</v>
      </c>
      <c r="K37" s="101">
        <f>K32+K40</f>
        <v>7.3201630000000004E-8</v>
      </c>
      <c r="L37" s="102">
        <f>0.304+0.0167+0.0139</f>
        <v>0.33460000000000001</v>
      </c>
      <c r="M37" s="102">
        <f>41.868*(0.112+0.00615+0.00512)</f>
        <v>5.1610683600000007</v>
      </c>
      <c r="N37" s="102">
        <f>1000*(0.00108+5.97*10^-5+4.98*10^-5)</f>
        <v>1.1895</v>
      </c>
      <c r="O37" s="103">
        <f>4.82*10^-8+2.65*10^-9+2.21*10^-9</f>
        <v>5.306E-8</v>
      </c>
      <c r="P37" s="104">
        <v>4.2074860000000003</v>
      </c>
      <c r="Q37" s="104">
        <f>41.868*1.412054</f>
        <v>59.119876871999999</v>
      </c>
      <c r="R37" s="104">
        <f>1.06*Q37</f>
        <v>62.667069484320002</v>
      </c>
      <c r="S37" s="105">
        <f>1.72*10^-10</f>
        <v>1.72E-10</v>
      </c>
      <c r="T37" s="38">
        <v>1</v>
      </c>
      <c r="U37" s="37"/>
      <c r="V37" s="37"/>
      <c r="W37" s="37"/>
      <c r="X37" s="37"/>
      <c r="Y37" s="37"/>
      <c r="Z37" s="37"/>
    </row>
    <row r="38" spans="1:26" ht="12" customHeight="1">
      <c r="A38" s="37"/>
      <c r="B38" s="37" t="s">
        <v>159</v>
      </c>
      <c r="C38" s="37" t="s">
        <v>167</v>
      </c>
      <c r="D38" s="98">
        <f t="shared" si="9"/>
        <v>6.693676</v>
      </c>
      <c r="E38" s="98">
        <f t="shared" si="10"/>
        <v>100.63325491200001</v>
      </c>
      <c r="F38" s="98">
        <f t="shared" si="11"/>
        <v>132.48506948432001</v>
      </c>
      <c r="G38" s="99">
        <f t="shared" si="12"/>
        <v>1.4487700000000001E-7</v>
      </c>
      <c r="H38" s="100">
        <f>H33+H40</f>
        <v>2.1462499999999993</v>
      </c>
      <c r="I38" s="100">
        <f>I33+I40</f>
        <v>36.278622000000006</v>
      </c>
      <c r="J38" s="100">
        <f>J33+J40</f>
        <v>68.604000000000013</v>
      </c>
      <c r="K38" s="101">
        <f>K33+K40</f>
        <v>9.0704999999999991E-8</v>
      </c>
      <c r="L38" s="102">
        <v>0.33994000000000002</v>
      </c>
      <c r="M38" s="102">
        <f>41.868*0.12503</f>
        <v>5.2347560400000006</v>
      </c>
      <c r="N38" s="102">
        <f>1000*0.001214</f>
        <v>1.214</v>
      </c>
      <c r="O38" s="103">
        <f>5.4*10^-8</f>
        <v>5.4000000000000007E-8</v>
      </c>
      <c r="P38" s="104">
        <v>4.2074860000000003</v>
      </c>
      <c r="Q38" s="104">
        <f>41.868*1.412054</f>
        <v>59.119876871999999</v>
      </c>
      <c r="R38" s="104">
        <f>1.06*Q38</f>
        <v>62.667069484320002</v>
      </c>
      <c r="S38" s="105">
        <f>1.72*10^-10</f>
        <v>1.72E-10</v>
      </c>
      <c r="T38" s="38">
        <v>1</v>
      </c>
      <c r="U38" s="37"/>
      <c r="V38" s="37"/>
      <c r="W38" s="37"/>
      <c r="X38" s="37"/>
      <c r="Y38" s="37"/>
      <c r="Z38" s="37"/>
    </row>
    <row r="39" spans="1:26" ht="12" customHeight="1">
      <c r="A39" s="37"/>
      <c r="B39" s="37" t="s">
        <v>159</v>
      </c>
      <c r="C39" s="37" t="s">
        <v>168</v>
      </c>
      <c r="D39" s="98">
        <f t="shared" si="9"/>
        <v>10.725259000000001</v>
      </c>
      <c r="E39" s="98">
        <f t="shared" si="10"/>
        <v>163.48620826799998</v>
      </c>
      <c r="F39" s="98">
        <f t="shared" si="11"/>
        <v>175.35606948431999</v>
      </c>
      <c r="G39" s="99">
        <f t="shared" si="12"/>
        <v>7.2437199999999997E-7</v>
      </c>
      <c r="H39" s="100">
        <f>H34+H40</f>
        <v>6.1833999999999998</v>
      </c>
      <c r="I39" s="100">
        <f>I34+I40</f>
        <v>99.217362887999997</v>
      </c>
      <c r="J39" s="100">
        <f>J34+J40</f>
        <v>111.49499999999998</v>
      </c>
      <c r="K39" s="101">
        <f>K34+K40</f>
        <v>6.7110000000000002E-7</v>
      </c>
      <c r="L39" s="102">
        <v>0.33437299999999998</v>
      </c>
      <c r="M39" s="102">
        <f>41.868*0.122981</f>
        <v>5.1489685080000003</v>
      </c>
      <c r="N39" s="102">
        <f>1000*0.001194</f>
        <v>1.194</v>
      </c>
      <c r="O39" s="103">
        <f>5.31*10^-8</f>
        <v>5.3099999999999999E-8</v>
      </c>
      <c r="P39" s="104">
        <v>4.2074860000000003</v>
      </c>
      <c r="Q39" s="104">
        <f>41.868*1.412054</f>
        <v>59.119876871999999</v>
      </c>
      <c r="R39" s="104">
        <f>1.06*Q39</f>
        <v>62.667069484320002</v>
      </c>
      <c r="S39" s="105">
        <f>1.72*10^-10</f>
        <v>1.72E-10</v>
      </c>
      <c r="T39" s="38">
        <v>1</v>
      </c>
      <c r="U39" s="37"/>
      <c r="V39" s="37"/>
      <c r="W39" s="37"/>
      <c r="X39" s="37"/>
      <c r="Y39" s="37"/>
      <c r="Z39" s="37"/>
    </row>
    <row r="40" spans="1:26" ht="12" customHeight="1">
      <c r="A40" s="37"/>
      <c r="B40" s="37"/>
      <c r="C40" s="37" t="s">
        <v>169</v>
      </c>
      <c r="D40" s="98"/>
      <c r="E40" s="98"/>
      <c r="F40" s="98"/>
      <c r="G40" s="99"/>
      <c r="H40" s="106">
        <f>-1.06*5.82</f>
        <v>-6.1692000000000009</v>
      </c>
      <c r="I40" s="106">
        <f>-1.06*0.489*41.868</f>
        <v>-21.701859120000002</v>
      </c>
      <c r="J40" s="106">
        <f>-1.06*1000*0.0181</f>
        <v>-19.186</v>
      </c>
      <c r="K40" s="107">
        <f>-1.06*1.65*10^-7</f>
        <v>-1.7489999999999998E-7</v>
      </c>
      <c r="L40" s="102"/>
      <c r="M40" s="102"/>
      <c r="N40" s="102"/>
      <c r="O40" s="103"/>
      <c r="P40" s="104"/>
      <c r="Q40" s="104"/>
      <c r="R40" s="104"/>
      <c r="S40" s="105"/>
      <c r="T40" s="38"/>
      <c r="U40" s="37"/>
      <c r="V40" s="37"/>
      <c r="W40" s="37"/>
      <c r="X40" s="37"/>
      <c r="Y40" s="37"/>
      <c r="Z40" s="37"/>
    </row>
    <row r="41" spans="1:26" ht="12" customHeight="1">
      <c r="A41" s="37"/>
      <c r="B41" s="37" t="s">
        <v>159</v>
      </c>
      <c r="C41" s="37" t="s">
        <v>170</v>
      </c>
      <c r="D41" s="98">
        <f t="shared" ref="D41:D72" si="14">H41+L41+P41</f>
        <v>0.97445715884912987</v>
      </c>
      <c r="E41" s="98">
        <f t="shared" ref="E41:E72" si="15">I41+M41+Q41</f>
        <v>16.454156228743383</v>
      </c>
      <c r="F41" s="98">
        <f t="shared" ref="F41:F72" si="16">J41+N41+R41</f>
        <v>1.4284931799969764</v>
      </c>
      <c r="G41" s="99">
        <f t="shared" ref="G41:G72" si="17">K41+O41+S41</f>
        <v>1.856824040259628E-8</v>
      </c>
      <c r="H41" s="100">
        <v>0.96888427246043529</v>
      </c>
      <c r="I41" s="100">
        <v>16.368340280600432</v>
      </c>
      <c r="J41" s="100">
        <v>1.4085914437908416</v>
      </c>
      <c r="K41" s="101">
        <v>1.7683629717208421E-8</v>
      </c>
      <c r="L41" s="102">
        <v>5.5728863886946277E-3</v>
      </c>
      <c r="M41" s="102">
        <v>8.5815948142949891E-2</v>
      </c>
      <c r="N41" s="102">
        <v>1.9901736206134803E-2</v>
      </c>
      <c r="O41" s="103">
        <v>8.8461068538785719E-10</v>
      </c>
      <c r="P41" s="104">
        <v>0</v>
      </c>
      <c r="Q41" s="104">
        <v>0</v>
      </c>
      <c r="R41" s="104">
        <v>0</v>
      </c>
      <c r="S41" s="104">
        <v>0</v>
      </c>
      <c r="T41" s="38">
        <v>2</v>
      </c>
      <c r="U41" s="37"/>
      <c r="V41" s="37"/>
      <c r="W41" s="37"/>
      <c r="X41" s="37"/>
      <c r="Y41" s="37"/>
      <c r="Z41" s="37"/>
    </row>
    <row r="42" spans="1:26" ht="12" customHeight="1">
      <c r="A42" s="37"/>
      <c r="B42" s="108" t="s">
        <v>171</v>
      </c>
      <c r="C42" s="108" t="s">
        <v>172</v>
      </c>
      <c r="D42" s="98">
        <f t="shared" si="14"/>
        <v>43.073318999999998</v>
      </c>
      <c r="E42" s="98">
        <f t="shared" si="15"/>
        <v>590.53126719600004</v>
      </c>
      <c r="F42" s="98">
        <f t="shared" si="16"/>
        <v>400.59265039144003</v>
      </c>
      <c r="G42" s="99">
        <f t="shared" si="17"/>
        <v>1.2499329999999997E-6</v>
      </c>
      <c r="H42" s="100">
        <v>19.692340000000002</v>
      </c>
      <c r="I42" s="100">
        <f>41.868*6.241408</f>
        <v>261.31527014400001</v>
      </c>
      <c r="J42" s="100">
        <f>1000*0.058126</f>
        <v>58.125999999999998</v>
      </c>
      <c r="K42" s="101">
        <f>1.16*10^-6</f>
        <v>1.1599999999999999E-6</v>
      </c>
      <c r="L42" s="102">
        <f>0.509919</f>
        <v>0.50991900000000001</v>
      </c>
      <c r="M42" s="102">
        <f>41.868*0.187546</f>
        <v>7.8521759280000003</v>
      </c>
      <c r="N42" s="102">
        <f>1000*0.001821</f>
        <v>1.821</v>
      </c>
      <c r="O42" s="103">
        <f>8.9*10^-8</f>
        <v>8.9000000000000003E-8</v>
      </c>
      <c r="P42" s="104">
        <f>22.87106</f>
        <v>22.87106</v>
      </c>
      <c r="Q42" s="104">
        <f>41.868*7.675643</f>
        <v>321.36382112400003</v>
      </c>
      <c r="R42" s="104">
        <f>1.06*Q42</f>
        <v>340.64565039144003</v>
      </c>
      <c r="S42" s="105">
        <f>9.33*10^-10</f>
        <v>9.3299999999999998E-10</v>
      </c>
      <c r="T42" s="38">
        <v>1</v>
      </c>
      <c r="U42" s="37"/>
      <c r="V42" s="37"/>
      <c r="W42" s="37"/>
      <c r="X42" s="37"/>
      <c r="Y42" s="37"/>
      <c r="Z42" s="37"/>
    </row>
    <row r="43" spans="1:26" ht="12" customHeight="1">
      <c r="A43" s="37"/>
      <c r="B43" s="108" t="s">
        <v>171</v>
      </c>
      <c r="C43" s="108" t="s">
        <v>173</v>
      </c>
      <c r="D43" s="98">
        <f t="shared" si="14"/>
        <v>25.467862</v>
      </c>
      <c r="E43" s="98">
        <f t="shared" si="15"/>
        <v>395.19979758000005</v>
      </c>
      <c r="F43" s="98">
        <f t="shared" si="16"/>
        <v>355.99265039144001</v>
      </c>
      <c r="G43" s="99">
        <f t="shared" si="17"/>
        <v>4.7093300000000003E-7</v>
      </c>
      <c r="H43" s="100">
        <f>2.518782</f>
        <v>2.5187819999999999</v>
      </c>
      <c r="I43" s="100">
        <f>41.868*1.734846</f>
        <v>72.634532328000006</v>
      </c>
      <c r="J43" s="100">
        <f>1000*0.015068</f>
        <v>15.068</v>
      </c>
      <c r="K43" s="101">
        <f>4.58*10^-7</f>
        <v>4.58E-7</v>
      </c>
      <c r="L43" s="102">
        <v>7.8020000000000006E-2</v>
      </c>
      <c r="M43" s="102">
        <f>41.868*0.028696</f>
        <v>1.2014441280000001</v>
      </c>
      <c r="N43" s="102">
        <f>1000*0.000279</f>
        <v>0.27900000000000003</v>
      </c>
      <c r="O43" s="103">
        <f>1.2*10^-8</f>
        <v>1.2E-8</v>
      </c>
      <c r="P43" s="104">
        <f>22.87106</f>
        <v>22.87106</v>
      </c>
      <c r="Q43" s="104">
        <f>41.868*7.675643</f>
        <v>321.36382112400003</v>
      </c>
      <c r="R43" s="104">
        <f>1.06*Q43</f>
        <v>340.64565039144003</v>
      </c>
      <c r="S43" s="105">
        <f>9.33*10^-10</f>
        <v>9.3299999999999998E-10</v>
      </c>
      <c r="T43" s="38">
        <v>1</v>
      </c>
      <c r="U43" s="37"/>
      <c r="V43" s="37"/>
      <c r="W43" s="37"/>
      <c r="X43" s="37"/>
      <c r="Y43" s="37"/>
      <c r="Z43" s="37"/>
    </row>
    <row r="44" spans="1:26" ht="12" customHeight="1">
      <c r="A44" s="37"/>
      <c r="B44" s="37" t="s">
        <v>171</v>
      </c>
      <c r="C44" s="37" t="s">
        <v>174</v>
      </c>
      <c r="D44" s="98">
        <f t="shared" si="14"/>
        <v>0.36265414695863102</v>
      </c>
      <c r="E44" s="98">
        <f t="shared" si="15"/>
        <v>0.41743785540279998</v>
      </c>
      <c r="F44" s="98">
        <f t="shared" si="16"/>
        <v>1.1474655995429335</v>
      </c>
      <c r="G44" s="99">
        <f t="shared" si="17"/>
        <v>4.3083596599999999E-9</v>
      </c>
      <c r="H44" s="100">
        <v>0.34036214695863104</v>
      </c>
      <c r="I44" s="100">
        <v>7.4173855402799999E-2</v>
      </c>
      <c r="J44" s="100">
        <v>1.0678585995429335</v>
      </c>
      <c r="K44" s="101">
        <v>7.6835965999999996E-10</v>
      </c>
      <c r="L44" s="102">
        <v>2.2291999999999999E-2</v>
      </c>
      <c r="M44" s="102">
        <v>0.34326400000000001</v>
      </c>
      <c r="N44" s="102">
        <v>7.9606999999999997E-2</v>
      </c>
      <c r="O44" s="103">
        <f>3.54*10^-9</f>
        <v>3.5400000000000002E-9</v>
      </c>
      <c r="P44" s="104">
        <v>0</v>
      </c>
      <c r="Q44" s="104">
        <v>0</v>
      </c>
      <c r="R44" s="104">
        <f>1.06*Q44</f>
        <v>0</v>
      </c>
      <c r="S44" s="105">
        <v>0</v>
      </c>
      <c r="T44" s="38">
        <v>3</v>
      </c>
      <c r="U44" s="37"/>
      <c r="V44" s="37"/>
      <c r="W44" s="37"/>
      <c r="X44" s="37"/>
      <c r="Y44" s="37"/>
      <c r="Z44" s="37"/>
    </row>
    <row r="45" spans="1:26" ht="12" customHeight="1">
      <c r="A45" s="37"/>
      <c r="B45" s="37" t="s">
        <v>171</v>
      </c>
      <c r="C45" s="37" t="s">
        <v>175</v>
      </c>
      <c r="D45" s="98">
        <f t="shared" si="14"/>
        <v>0.14474960000000001</v>
      </c>
      <c r="E45" s="98">
        <f t="shared" si="15"/>
        <v>6.6942159999999999</v>
      </c>
      <c r="F45" s="98">
        <f t="shared" si="16"/>
        <v>1.9902E-2</v>
      </c>
      <c r="G45" s="99">
        <f t="shared" si="17"/>
        <v>8.8603195000000009E-10</v>
      </c>
      <c r="H45" s="100">
        <v>0.13917660000000001</v>
      </c>
      <c r="I45" s="100">
        <v>6.6083999999999996</v>
      </c>
      <c r="J45" s="100">
        <v>0</v>
      </c>
      <c r="K45" s="101">
        <f>1.03195*10^-12</f>
        <v>1.0319499999999999E-12</v>
      </c>
      <c r="L45" s="102">
        <v>5.5729999999999998E-3</v>
      </c>
      <c r="M45" s="102">
        <v>8.5816000000000003E-2</v>
      </c>
      <c r="N45" s="102">
        <v>1.9902E-2</v>
      </c>
      <c r="O45" s="103">
        <f>8.85*10^-10</f>
        <v>8.8500000000000005E-10</v>
      </c>
      <c r="P45" s="104">
        <v>0</v>
      </c>
      <c r="Q45" s="104">
        <v>0</v>
      </c>
      <c r="R45" s="104">
        <f>1.06*Q45</f>
        <v>0</v>
      </c>
      <c r="S45" s="105">
        <v>0</v>
      </c>
      <c r="T45" s="38">
        <v>1</v>
      </c>
      <c r="U45" s="37"/>
      <c r="V45" s="37"/>
      <c r="W45" s="37"/>
      <c r="X45" s="37"/>
      <c r="Y45" s="37"/>
      <c r="Z45" s="37"/>
    </row>
    <row r="46" spans="1:26" ht="12" customHeight="1">
      <c r="A46" s="37"/>
      <c r="B46" s="37" t="s">
        <v>171</v>
      </c>
      <c r="C46" s="37" t="s">
        <v>176</v>
      </c>
      <c r="D46" s="98">
        <f t="shared" si="14"/>
        <v>8.3645405190000002</v>
      </c>
      <c r="E46" s="98">
        <f t="shared" si="15"/>
        <v>141.0296568</v>
      </c>
      <c r="F46" s="98">
        <f t="shared" si="16"/>
        <v>23.814187</v>
      </c>
      <c r="G46" s="99">
        <f t="shared" si="17"/>
        <v>1.2014899999999998E-6</v>
      </c>
      <c r="H46" s="100">
        <f>8.085896519</f>
        <v>8.0858965190000003</v>
      </c>
      <c r="I46" s="100">
        <v>136.7388598</v>
      </c>
      <c r="J46" s="100">
        <v>22.819099999999999</v>
      </c>
      <c r="K46" s="101">
        <f>1.15729*10^-6</f>
        <v>1.1572899999999998E-6</v>
      </c>
      <c r="L46" s="102">
        <f>0.278644</f>
        <v>0.278644</v>
      </c>
      <c r="M46" s="102">
        <f>4.290797</f>
        <v>4.2907970000000004</v>
      </c>
      <c r="N46" s="102">
        <f>0.995087</f>
        <v>0.99508700000000005</v>
      </c>
      <c r="O46" s="103">
        <f>4.42*10^-8</f>
        <v>4.4199999999999999E-8</v>
      </c>
      <c r="P46" s="104">
        <v>0</v>
      </c>
      <c r="Q46" s="104">
        <v>0</v>
      </c>
      <c r="R46" s="104">
        <f>1.06*Q46</f>
        <v>0</v>
      </c>
      <c r="S46" s="105">
        <v>0</v>
      </c>
      <c r="T46" s="38">
        <v>1</v>
      </c>
      <c r="U46" s="37"/>
      <c r="V46" s="37"/>
      <c r="W46" s="37"/>
      <c r="X46" s="37"/>
      <c r="Y46" s="37"/>
      <c r="Z46" s="37"/>
    </row>
    <row r="47" spans="1:26" ht="12" customHeight="1">
      <c r="A47" s="37"/>
      <c r="B47" s="37" t="s">
        <v>171</v>
      </c>
      <c r="C47" s="37" t="s">
        <v>177</v>
      </c>
      <c r="D47" s="98">
        <f t="shared" si="14"/>
        <v>2.3005358348255434</v>
      </c>
      <c r="E47" s="98">
        <f t="shared" si="15"/>
        <v>31.067123437974196</v>
      </c>
      <c r="F47" s="98">
        <f t="shared" si="16"/>
        <v>10.717471933639571</v>
      </c>
      <c r="G47" s="99">
        <f t="shared" si="17"/>
        <v>1.02047445339666E-7</v>
      </c>
      <c r="H47" s="100">
        <v>1.3050977795845944</v>
      </c>
      <c r="I47" s="100">
        <v>16.899214454501024</v>
      </c>
      <c r="J47" s="100">
        <v>10.238133643522731</v>
      </c>
      <c r="K47" s="101">
        <v>8.0706233041359725E-8</v>
      </c>
      <c r="L47" s="102">
        <v>0.13422436160121795</v>
      </c>
      <c r="M47" s="102">
        <v>2.0668985611097321</v>
      </c>
      <c r="N47" s="102">
        <v>0.47933829011683943</v>
      </c>
      <c r="O47" s="103">
        <v>2.1306069487531377E-8</v>
      </c>
      <c r="P47" s="104">
        <v>0.86121369363973099</v>
      </c>
      <c r="Q47" s="104">
        <v>12.101010422363442</v>
      </c>
      <c r="R47" s="104">
        <v>0</v>
      </c>
      <c r="S47" s="105">
        <v>3.5142810774888743E-11</v>
      </c>
      <c r="T47" s="38">
        <v>2</v>
      </c>
      <c r="U47" s="37"/>
      <c r="V47" s="37"/>
      <c r="W47" s="37"/>
      <c r="X47" s="37"/>
      <c r="Y47" s="37"/>
      <c r="Z47" s="37"/>
    </row>
    <row r="48" spans="1:26" ht="12" customHeight="1">
      <c r="A48" s="37"/>
      <c r="B48" s="37" t="s">
        <v>171</v>
      </c>
      <c r="C48" s="37" t="s">
        <v>178</v>
      </c>
      <c r="D48" s="98">
        <f t="shared" si="14"/>
        <v>0.25323400000000001</v>
      </c>
      <c r="E48" s="98">
        <f t="shared" si="15"/>
        <v>4.3276779999999997</v>
      </c>
      <c r="F48" s="98">
        <f t="shared" si="16"/>
        <v>3.9426570000000001</v>
      </c>
      <c r="G48" s="99">
        <f t="shared" si="17"/>
        <v>3.078151E-8</v>
      </c>
      <c r="H48" s="100">
        <f>0.164327</f>
        <v>0.164327</v>
      </c>
      <c r="I48" s="100">
        <v>3.0746699999999998</v>
      </c>
      <c r="J48" s="100">
        <v>2.65</v>
      </c>
      <c r="K48" s="101">
        <f>3.0336*10^-8</f>
        <v>3.0336000000000001E-8</v>
      </c>
      <c r="L48" s="102">
        <v>2.7859999999999998E-3</v>
      </c>
      <c r="M48" s="102">
        <v>4.2908000000000002E-2</v>
      </c>
      <c r="N48" s="102">
        <v>9.9509999999999998E-3</v>
      </c>
      <c r="O48" s="103">
        <f>4.42*10^-10</f>
        <v>4.4200000000000002E-10</v>
      </c>
      <c r="P48" s="104">
        <f>0.086121</f>
        <v>8.6121000000000003E-2</v>
      </c>
      <c r="Q48" s="104">
        <f>1.2101</f>
        <v>1.2101</v>
      </c>
      <c r="R48" s="104">
        <f>1.06*Q48</f>
        <v>1.2827060000000001</v>
      </c>
      <c r="S48" s="105">
        <f>3.51*10^-12</f>
        <v>3.5099999999999998E-12</v>
      </c>
      <c r="T48" s="38">
        <v>1</v>
      </c>
      <c r="U48" s="37"/>
      <c r="V48" s="37"/>
      <c r="W48" s="37"/>
      <c r="X48" s="37"/>
      <c r="Y48" s="37"/>
      <c r="Z48" s="37"/>
    </row>
    <row r="49" spans="1:26" ht="12" customHeight="1">
      <c r="A49" s="37"/>
      <c r="B49" s="37" t="s">
        <v>171</v>
      </c>
      <c r="C49" s="37" t="s">
        <v>179</v>
      </c>
      <c r="D49" s="98">
        <f t="shared" si="14"/>
        <v>2.2487711503043077</v>
      </c>
      <c r="E49" s="98">
        <f t="shared" si="15"/>
        <v>21.294194737457538</v>
      </c>
      <c r="F49" s="98">
        <f t="shared" si="16"/>
        <v>2.3120053827355247</v>
      </c>
      <c r="G49" s="99">
        <f t="shared" si="17"/>
        <v>2.5244330531980194E-8</v>
      </c>
      <c r="H49" s="100">
        <v>2.2101231834027137</v>
      </c>
      <c r="I49" s="100">
        <v>20.69906113968992</v>
      </c>
      <c r="J49" s="100">
        <v>2.1739868433516016</v>
      </c>
      <c r="K49" s="101">
        <v>1.9109555444165804E-8</v>
      </c>
      <c r="L49" s="102">
        <v>3.8647966901594187E-2</v>
      </c>
      <c r="M49" s="102">
        <v>0.59513359776761665</v>
      </c>
      <c r="N49" s="102">
        <v>0.13801853938392289</v>
      </c>
      <c r="O49" s="103">
        <v>6.1347750878143899E-9</v>
      </c>
      <c r="P49" s="104">
        <v>0</v>
      </c>
      <c r="Q49" s="104">
        <v>0</v>
      </c>
      <c r="R49" s="104">
        <v>0</v>
      </c>
      <c r="S49" s="105">
        <v>0</v>
      </c>
      <c r="T49" s="38">
        <v>1</v>
      </c>
      <c r="U49" s="37"/>
      <c r="V49" s="37"/>
      <c r="W49" s="37"/>
      <c r="X49" s="37"/>
      <c r="Y49" s="37"/>
      <c r="Z49" s="37"/>
    </row>
    <row r="50" spans="1:26" ht="12" customHeight="1">
      <c r="A50" s="37"/>
      <c r="B50" s="37" t="s">
        <v>171</v>
      </c>
      <c r="C50" s="37" t="s">
        <v>180</v>
      </c>
      <c r="D50" s="98">
        <f t="shared" si="14"/>
        <v>0.39921699999999999</v>
      </c>
      <c r="E50" s="98">
        <f t="shared" si="15"/>
        <v>46.636344680000001</v>
      </c>
      <c r="F50" s="98">
        <f t="shared" si="16"/>
        <v>3.7760000000000002</v>
      </c>
      <c r="G50" s="99">
        <f t="shared" si="17"/>
        <v>4.02883E-7</v>
      </c>
      <c r="H50" s="100">
        <v>0.39085799999999998</v>
      </c>
      <c r="I50" s="100">
        <v>46.507620680000002</v>
      </c>
      <c r="J50" s="100">
        <v>3.7461000000000002</v>
      </c>
      <c r="K50" s="101">
        <f>4.01553*10^-7</f>
        <v>4.0155299999999997E-7</v>
      </c>
      <c r="L50" s="102">
        <v>8.3590000000000001E-3</v>
      </c>
      <c r="M50" s="102">
        <f>0.128724</f>
        <v>0.12872400000000001</v>
      </c>
      <c r="N50" s="102">
        <v>2.9899999999999999E-2</v>
      </c>
      <c r="O50" s="103">
        <f>1.33*10^-9</f>
        <v>1.3300000000000002E-9</v>
      </c>
      <c r="P50" s="104">
        <v>0</v>
      </c>
      <c r="Q50" s="104">
        <v>0</v>
      </c>
      <c r="R50" s="104">
        <f>1.06*Q50</f>
        <v>0</v>
      </c>
      <c r="S50" s="105">
        <v>0</v>
      </c>
      <c r="T50" s="38">
        <v>1</v>
      </c>
      <c r="U50" s="37"/>
      <c r="V50" s="37"/>
      <c r="W50" s="37"/>
      <c r="X50" s="37"/>
      <c r="Y50" s="37"/>
      <c r="Z50" s="37"/>
    </row>
    <row r="51" spans="1:26" ht="12" customHeight="1">
      <c r="A51" s="37"/>
      <c r="B51" s="37" t="s">
        <v>181</v>
      </c>
      <c r="C51" s="37" t="s">
        <v>182</v>
      </c>
      <c r="D51" s="98">
        <f t="shared" si="14"/>
        <v>5.2323362326111873</v>
      </c>
      <c r="E51" s="98">
        <f t="shared" si="15"/>
        <v>62.805616829263407</v>
      </c>
      <c r="F51" s="98">
        <f t="shared" si="16"/>
        <v>30.152736022404618</v>
      </c>
      <c r="G51" s="99">
        <f t="shared" si="17"/>
        <v>4.1592038361040979E-7</v>
      </c>
      <c r="H51" s="100">
        <v>5.2156175735181867</v>
      </c>
      <c r="I51" s="100">
        <v>62.548168985762764</v>
      </c>
      <c r="J51" s="100">
        <v>30.093030814175158</v>
      </c>
      <c r="K51" s="101">
        <v>4.1326655155999384E-7</v>
      </c>
      <c r="L51" s="102">
        <v>1.6718659093000878E-2</v>
      </c>
      <c r="M51" s="102">
        <v>0.25744784350064071</v>
      </c>
      <c r="N51" s="102">
        <v>5.9705208229458004E-2</v>
      </c>
      <c r="O51" s="103">
        <v>2.6538320504159668E-9</v>
      </c>
      <c r="P51" s="104">
        <v>0</v>
      </c>
      <c r="Q51" s="104">
        <v>0</v>
      </c>
      <c r="R51" s="104">
        <v>0</v>
      </c>
      <c r="S51" s="105">
        <v>0</v>
      </c>
      <c r="T51" s="38">
        <v>2</v>
      </c>
      <c r="U51" s="37"/>
      <c r="V51" s="37"/>
      <c r="W51" s="37"/>
      <c r="X51" s="37"/>
      <c r="Y51" s="37"/>
      <c r="Z51" s="37"/>
    </row>
    <row r="52" spans="1:26" ht="12" customHeight="1">
      <c r="A52" s="37"/>
      <c r="B52" s="37" t="s">
        <v>181</v>
      </c>
      <c r="C52" s="37" t="s">
        <v>183</v>
      </c>
      <c r="D52" s="98">
        <f t="shared" si="14"/>
        <v>3.0596139013569261</v>
      </c>
      <c r="E52" s="98">
        <f t="shared" si="15"/>
        <v>50.921796845921541</v>
      </c>
      <c r="F52" s="98">
        <f t="shared" si="16"/>
        <v>24.131592147462008</v>
      </c>
      <c r="G52" s="99">
        <f t="shared" si="17"/>
        <v>1.7632733089339246E-7</v>
      </c>
      <c r="H52" s="100">
        <v>3.0428952422594628</v>
      </c>
      <c r="I52" s="100">
        <v>50.66434900230913</v>
      </c>
      <c r="J52" s="100">
        <v>24.071886939173794</v>
      </c>
      <c r="K52" s="101">
        <v>1.7367349884236387E-7</v>
      </c>
      <c r="L52" s="102">
        <v>1.6718659097463465E-2</v>
      </c>
      <c r="M52" s="102">
        <v>0.25744784361241391</v>
      </c>
      <c r="N52" s="102">
        <v>5.970520828821331E-2</v>
      </c>
      <c r="O52" s="103">
        <v>2.6538320510285953E-9</v>
      </c>
      <c r="P52" s="104">
        <v>0</v>
      </c>
      <c r="Q52" s="104">
        <v>0</v>
      </c>
      <c r="R52" s="104">
        <v>0</v>
      </c>
      <c r="S52" s="105">
        <v>0</v>
      </c>
      <c r="T52" s="38">
        <v>2</v>
      </c>
      <c r="U52" s="37"/>
      <c r="V52" s="37"/>
      <c r="W52" s="37"/>
      <c r="X52" s="37"/>
      <c r="Y52" s="37"/>
      <c r="Z52" s="37"/>
    </row>
    <row r="53" spans="1:26" ht="12" customHeight="1">
      <c r="A53" s="37"/>
      <c r="B53" s="37" t="s">
        <v>181</v>
      </c>
      <c r="C53" s="37" t="s">
        <v>184</v>
      </c>
      <c r="D53" s="98">
        <f t="shared" si="14"/>
        <v>6.3939999999999992</v>
      </c>
      <c r="E53" s="98">
        <f t="shared" si="15"/>
        <v>73.197824400000002</v>
      </c>
      <c r="F53" s="98">
        <f t="shared" si="16"/>
        <v>37.719000000000001</v>
      </c>
      <c r="G53" s="99">
        <f t="shared" si="17"/>
        <v>4.9331000000000007E-7</v>
      </c>
      <c r="H53" s="100">
        <f>1.68+4.38</f>
        <v>6.06</v>
      </c>
      <c r="I53" s="100">
        <f>41.868*(0.476+1.26)</f>
        <v>72.682848000000007</v>
      </c>
      <c r="J53" s="100">
        <f>1000*(0.0151+0.0225)</f>
        <v>37.6</v>
      </c>
      <c r="K53" s="101">
        <f>1.5*10^-7+3.38*10^-7</f>
        <v>4.8800000000000003E-7</v>
      </c>
      <c r="L53" s="102">
        <v>0.33400000000000002</v>
      </c>
      <c r="M53" s="102">
        <f>41.868*0.0123</f>
        <v>0.5149764</v>
      </c>
      <c r="N53" s="102">
        <f>1000*0.000119</f>
        <v>0.11900000000000001</v>
      </c>
      <c r="O53" s="103">
        <f>5.31*10^-9</f>
        <v>5.3100000000000001E-9</v>
      </c>
      <c r="P53" s="104">
        <v>0</v>
      </c>
      <c r="Q53" s="104">
        <v>0</v>
      </c>
      <c r="R53" s="104">
        <f t="shared" ref="R53:R71" si="18">1.06*Q53</f>
        <v>0</v>
      </c>
      <c r="S53" s="105">
        <v>0</v>
      </c>
      <c r="T53" s="38">
        <v>2</v>
      </c>
      <c r="U53" s="37"/>
      <c r="V53" s="37"/>
      <c r="W53" s="37"/>
      <c r="X53" s="37"/>
      <c r="Y53" s="37"/>
      <c r="Z53" s="37"/>
    </row>
    <row r="54" spans="1:26" ht="12" customHeight="1">
      <c r="A54" s="37"/>
      <c r="B54" s="37" t="s">
        <v>181</v>
      </c>
      <c r="C54" s="37" t="s">
        <v>185</v>
      </c>
      <c r="D54" s="98">
        <f t="shared" si="14"/>
        <v>6.9401999999999999</v>
      </c>
      <c r="E54" s="98">
        <f t="shared" si="15"/>
        <v>83.543407200000004</v>
      </c>
      <c r="F54" s="98">
        <f t="shared" si="16"/>
        <v>45.379000000000005</v>
      </c>
      <c r="G54" s="99">
        <f t="shared" si="17"/>
        <v>5.6996E-7</v>
      </c>
      <c r="H54" s="100">
        <f>2.51+4.38</f>
        <v>6.89</v>
      </c>
      <c r="I54" s="100">
        <f>41.868*(0.717+1.26)</f>
        <v>82.773036000000005</v>
      </c>
      <c r="J54" s="100">
        <f>1000*(0.0227+0.0225)</f>
        <v>45.2</v>
      </c>
      <c r="K54" s="101">
        <f>2.24*10^-7+3.38*10^-7</f>
        <v>5.6199999999999998E-7</v>
      </c>
      <c r="L54" s="102">
        <f>0.0502</f>
        <v>5.0200000000000002E-2</v>
      </c>
      <c r="M54" s="102">
        <f>41.868*0.0184</f>
        <v>0.77037120000000003</v>
      </c>
      <c r="N54" s="102">
        <f>1000*0.000179</f>
        <v>0.17899999999999999</v>
      </c>
      <c r="O54" s="103">
        <f>7.96*10^-9</f>
        <v>7.9599999999999998E-9</v>
      </c>
      <c r="P54" s="104">
        <v>0</v>
      </c>
      <c r="Q54" s="104">
        <v>0</v>
      </c>
      <c r="R54" s="104">
        <f t="shared" si="18"/>
        <v>0</v>
      </c>
      <c r="S54" s="105">
        <v>0</v>
      </c>
      <c r="T54" s="38">
        <v>2</v>
      </c>
      <c r="U54" s="37"/>
      <c r="V54" s="37"/>
      <c r="W54" s="37"/>
      <c r="X54" s="37"/>
      <c r="Y54" s="37"/>
      <c r="Z54" s="37"/>
    </row>
    <row r="55" spans="1:26" ht="12" customHeight="1">
      <c r="A55" s="37"/>
      <c r="B55" s="37" t="s">
        <v>181</v>
      </c>
      <c r="C55" s="37" t="s">
        <v>186</v>
      </c>
      <c r="D55" s="98">
        <f t="shared" si="14"/>
        <v>4.2139999999999995</v>
      </c>
      <c r="E55" s="98">
        <f t="shared" si="15"/>
        <v>61.139840400000004</v>
      </c>
      <c r="F55" s="98">
        <f t="shared" si="16"/>
        <v>31.719000000000001</v>
      </c>
      <c r="G55" s="99">
        <f t="shared" si="17"/>
        <v>2.5410999999999999E-7</v>
      </c>
      <c r="H55" s="100">
        <f>1.68+2.2</f>
        <v>3.88</v>
      </c>
      <c r="I55" s="100">
        <f>41.868*(0.476+0.972)</f>
        <v>60.624864000000002</v>
      </c>
      <c r="J55" s="100">
        <f>1000*(0.0151+0.0165)</f>
        <v>31.6</v>
      </c>
      <c r="K55" s="101">
        <f>1.5*10^-7+9.88*10^-8</f>
        <v>2.488E-7</v>
      </c>
      <c r="L55" s="102">
        <v>0.33400000000000002</v>
      </c>
      <c r="M55" s="102">
        <f>41.868*0.0123</f>
        <v>0.5149764</v>
      </c>
      <c r="N55" s="102">
        <f>1000*0.000119</f>
        <v>0.11900000000000001</v>
      </c>
      <c r="O55" s="103">
        <f>5.31*10^-9</f>
        <v>5.3100000000000001E-9</v>
      </c>
      <c r="P55" s="104">
        <v>0</v>
      </c>
      <c r="Q55" s="104">
        <v>0</v>
      </c>
      <c r="R55" s="104">
        <f t="shared" si="18"/>
        <v>0</v>
      </c>
      <c r="S55" s="105">
        <v>0</v>
      </c>
      <c r="T55" s="38">
        <v>2</v>
      </c>
      <c r="U55" s="37"/>
      <c r="V55" s="37"/>
      <c r="W55" s="37"/>
      <c r="X55" s="37"/>
      <c r="Y55" s="37"/>
      <c r="Z55" s="37"/>
    </row>
    <row r="56" spans="1:26" ht="12" customHeight="1">
      <c r="A56" s="37"/>
      <c r="B56" s="37" t="s">
        <v>181</v>
      </c>
      <c r="C56" s="37" t="s">
        <v>187</v>
      </c>
      <c r="D56" s="98">
        <f t="shared" si="14"/>
        <v>4.7602000000000002</v>
      </c>
      <c r="E56" s="98">
        <f t="shared" si="15"/>
        <v>71.359819200000004</v>
      </c>
      <c r="F56" s="98">
        <f t="shared" si="16"/>
        <v>39.378999999999998</v>
      </c>
      <c r="G56" s="99">
        <f t="shared" si="17"/>
        <v>3.3076000000000003E-7</v>
      </c>
      <c r="H56" s="100">
        <f>2.51+2.2</f>
        <v>4.71</v>
      </c>
      <c r="I56" s="100">
        <f>41.868*(0.714+0.972)</f>
        <v>70.589448000000004</v>
      </c>
      <c r="J56" s="100">
        <f>1000*(0.0227+0.0165)</f>
        <v>39.199999999999996</v>
      </c>
      <c r="K56" s="101">
        <f>2.24*10^-7+9.88*10^-8</f>
        <v>3.2280000000000001E-7</v>
      </c>
      <c r="L56" s="102">
        <f>0.0502</f>
        <v>5.0200000000000002E-2</v>
      </c>
      <c r="M56" s="102">
        <f>41.868*0.0184</f>
        <v>0.77037120000000003</v>
      </c>
      <c r="N56" s="102">
        <f>1000*0.000179</f>
        <v>0.17899999999999999</v>
      </c>
      <c r="O56" s="103">
        <f>7.96*10^-9</f>
        <v>7.9599999999999998E-9</v>
      </c>
      <c r="P56" s="104">
        <v>0</v>
      </c>
      <c r="Q56" s="104">
        <v>0</v>
      </c>
      <c r="R56" s="104">
        <f t="shared" si="18"/>
        <v>0</v>
      </c>
      <c r="S56" s="105">
        <v>0</v>
      </c>
      <c r="T56" s="38">
        <v>2</v>
      </c>
      <c r="U56" s="37"/>
      <c r="V56" s="37"/>
      <c r="W56" s="37"/>
      <c r="X56" s="37"/>
      <c r="Y56" s="37"/>
      <c r="Z56" s="37"/>
    </row>
    <row r="57" spans="1:26" ht="12" customHeight="1">
      <c r="A57" s="37"/>
      <c r="B57" s="37" t="s">
        <v>188</v>
      </c>
      <c r="C57" s="37" t="s">
        <v>189</v>
      </c>
      <c r="D57" s="98">
        <f t="shared" si="14"/>
        <v>641.2938881</v>
      </c>
      <c r="E57" s="98">
        <f t="shared" si="15"/>
        <v>6611.3947440000002</v>
      </c>
      <c r="F57" s="98">
        <f t="shared" si="16"/>
        <v>7712.5330150000009</v>
      </c>
      <c r="G57" s="99">
        <f t="shared" si="17"/>
        <v>2.4706859999999999E-5</v>
      </c>
      <c r="H57" s="100">
        <v>578.59135809999998</v>
      </c>
      <c r="I57" s="100">
        <v>5633.7634440000002</v>
      </c>
      <c r="J57" s="100">
        <v>6897.9609650000002</v>
      </c>
      <c r="K57" s="101">
        <f>2.19448*10^-5</f>
        <v>2.19448E-5</v>
      </c>
      <c r="L57" s="102">
        <v>17.387409999999999</v>
      </c>
      <c r="M57" s="102">
        <v>267.74579999999997</v>
      </c>
      <c r="N57" s="102">
        <v>62.093420000000002</v>
      </c>
      <c r="O57" s="103">
        <f>2.76*10^-6</f>
        <v>2.7599999999999998E-6</v>
      </c>
      <c r="P57" s="104">
        <v>45.31512</v>
      </c>
      <c r="Q57" s="104">
        <v>709.88549999999998</v>
      </c>
      <c r="R57" s="104">
        <f t="shared" si="18"/>
        <v>752.47863000000007</v>
      </c>
      <c r="S57" s="105">
        <f>2.06*10^-9</f>
        <v>2.0600000000000003E-9</v>
      </c>
      <c r="T57" s="38">
        <v>1</v>
      </c>
      <c r="U57" s="37"/>
      <c r="V57" s="37"/>
      <c r="W57" s="37"/>
      <c r="X57" s="37"/>
      <c r="Y57" s="37"/>
      <c r="Z57" s="37"/>
    </row>
    <row r="58" spans="1:26" ht="12" customHeight="1">
      <c r="A58" s="37"/>
      <c r="B58" s="37" t="s">
        <v>188</v>
      </c>
      <c r="C58" s="37" t="s">
        <v>190</v>
      </c>
      <c r="D58" s="98">
        <f t="shared" si="14"/>
        <v>1.5472999999999999</v>
      </c>
      <c r="E58" s="98">
        <f t="shared" si="15"/>
        <v>17.551065600000001</v>
      </c>
      <c r="F58" s="98">
        <f t="shared" si="16"/>
        <v>9.5421506399999991</v>
      </c>
      <c r="G58" s="99">
        <f t="shared" si="17"/>
        <v>3.5561000000000002E-9</v>
      </c>
      <c r="H58" s="100">
        <v>1.1299999999999999</v>
      </c>
      <c r="I58" s="100">
        <f>41.868*0.278</f>
        <v>11.639304000000001</v>
      </c>
      <c r="J58" s="100">
        <f>1000*0.00356</f>
        <v>3.5599999999999996</v>
      </c>
      <c r="K58" s="101">
        <f>0</f>
        <v>0</v>
      </c>
      <c r="L58" s="102">
        <v>2.23E-2</v>
      </c>
      <c r="M58" s="102">
        <f>41.868*0.0082</f>
        <v>0.34331760000000006</v>
      </c>
      <c r="N58" s="102">
        <f>1000*7.96*10^-5</f>
        <v>7.9600000000000004E-2</v>
      </c>
      <c r="O58" s="103">
        <f>3.54*10^-9</f>
        <v>3.5400000000000002E-9</v>
      </c>
      <c r="P58" s="104">
        <f>0.395</f>
        <v>0.39500000000000002</v>
      </c>
      <c r="Q58" s="104">
        <f>41.868*0.133</f>
        <v>5.5684440000000004</v>
      </c>
      <c r="R58" s="104">
        <f t="shared" si="18"/>
        <v>5.9025506400000003</v>
      </c>
      <c r="S58" s="105">
        <f>1.61*10^-11</f>
        <v>1.6100000000000001E-11</v>
      </c>
      <c r="T58" s="38">
        <v>1</v>
      </c>
      <c r="U58" s="37"/>
      <c r="V58" s="37"/>
      <c r="W58" s="37"/>
      <c r="X58" s="37"/>
      <c r="Y58" s="37"/>
      <c r="Z58" s="37"/>
    </row>
    <row r="59" spans="1:26" ht="12" customHeight="1">
      <c r="A59" s="37"/>
      <c r="B59" s="37" t="s">
        <v>188</v>
      </c>
      <c r="C59" s="37" t="s">
        <v>191</v>
      </c>
      <c r="D59" s="98">
        <f t="shared" si="14"/>
        <v>0.97450000000000003</v>
      </c>
      <c r="E59" s="98">
        <f t="shared" si="15"/>
        <v>12.805511599999999</v>
      </c>
      <c r="F59" s="98">
        <f t="shared" si="16"/>
        <v>7.9345506400000003</v>
      </c>
      <c r="G59" s="99">
        <f t="shared" si="17"/>
        <v>3.5683400000000001E-9</v>
      </c>
      <c r="H59" s="100">
        <v>0.55720000000000003</v>
      </c>
      <c r="I59" s="100">
        <v>6.8937499999999998</v>
      </c>
      <c r="J59" s="100">
        <v>1.9523999999999999</v>
      </c>
      <c r="K59" s="101">
        <f>1.224*10^-11</f>
        <v>1.224E-11</v>
      </c>
      <c r="L59" s="102">
        <v>2.23E-2</v>
      </c>
      <c r="M59" s="102">
        <f>41.868*0.0082</f>
        <v>0.34331760000000006</v>
      </c>
      <c r="N59" s="102">
        <f>1000*7.96*10^-5</f>
        <v>7.9600000000000004E-2</v>
      </c>
      <c r="O59" s="103">
        <f>3.54*10^-9</f>
        <v>3.5400000000000002E-9</v>
      </c>
      <c r="P59" s="104">
        <f>0.395</f>
        <v>0.39500000000000002</v>
      </c>
      <c r="Q59" s="104">
        <f>41.868*0.133</f>
        <v>5.5684440000000004</v>
      </c>
      <c r="R59" s="104">
        <f t="shared" si="18"/>
        <v>5.9025506400000003</v>
      </c>
      <c r="S59" s="105">
        <f>1.61*10^-11</f>
        <v>1.6100000000000001E-11</v>
      </c>
      <c r="T59" s="38">
        <v>1</v>
      </c>
      <c r="U59" s="37"/>
      <c r="V59" s="37"/>
      <c r="W59" s="37"/>
      <c r="X59" s="37"/>
      <c r="Y59" s="37"/>
      <c r="Z59" s="37"/>
    </row>
    <row r="60" spans="1:26" ht="12" customHeight="1">
      <c r="A60" s="37"/>
      <c r="B60" s="37" t="s">
        <v>188</v>
      </c>
      <c r="C60" s="37" t="s">
        <v>192</v>
      </c>
      <c r="D60" s="98">
        <f t="shared" si="14"/>
        <v>0.74383900000000003</v>
      </c>
      <c r="E60" s="98">
        <f t="shared" si="15"/>
        <v>8.3770786000000008</v>
      </c>
      <c r="F60" s="98">
        <f t="shared" si="16"/>
        <v>6.0563506400000007</v>
      </c>
      <c r="G60" s="99">
        <f t="shared" si="17"/>
        <v>3.5604268400000003E-9</v>
      </c>
      <c r="H60" s="100">
        <v>0.32653900000000002</v>
      </c>
      <c r="I60" s="100">
        <v>2.4653170000000002</v>
      </c>
      <c r="J60" s="100">
        <v>7.4200000000000002E-2</v>
      </c>
      <c r="K60" s="101">
        <f>4.32684*10^-12</f>
        <v>4.3268399999999994E-12</v>
      </c>
      <c r="L60" s="102">
        <v>2.23E-2</v>
      </c>
      <c r="M60" s="102">
        <f>41.868*0.0082</f>
        <v>0.34331760000000006</v>
      </c>
      <c r="N60" s="102">
        <f>1000*7.96*10^-5</f>
        <v>7.9600000000000004E-2</v>
      </c>
      <c r="O60" s="103">
        <f>3.54*10^-9</f>
        <v>3.5400000000000002E-9</v>
      </c>
      <c r="P60" s="104">
        <f>0.395</f>
        <v>0.39500000000000002</v>
      </c>
      <c r="Q60" s="104">
        <f>41.868*0.133</f>
        <v>5.5684440000000004</v>
      </c>
      <c r="R60" s="104">
        <f t="shared" si="18"/>
        <v>5.9025506400000003</v>
      </c>
      <c r="S60" s="105">
        <f>1.61*10^-11</f>
        <v>1.6100000000000001E-11</v>
      </c>
      <c r="T60" s="38">
        <v>1</v>
      </c>
      <c r="U60" s="37"/>
      <c r="V60" s="37"/>
      <c r="W60" s="37"/>
      <c r="X60" s="37"/>
      <c r="Y60" s="37"/>
      <c r="Z60" s="37"/>
    </row>
    <row r="61" spans="1:26" ht="12" customHeight="1">
      <c r="A61" s="37"/>
      <c r="B61" s="37" t="s">
        <v>193</v>
      </c>
      <c r="C61" s="37" t="s">
        <v>194</v>
      </c>
      <c r="D61" s="98">
        <f t="shared" si="14"/>
        <v>797.68250259999991</v>
      </c>
      <c r="E61" s="98">
        <f t="shared" si="15"/>
        <v>9334.9195029999992</v>
      </c>
      <c r="F61" s="98">
        <f t="shared" si="16"/>
        <v>11075.615889000001</v>
      </c>
      <c r="G61" s="99">
        <f t="shared" si="17"/>
        <v>1.7853E-5</v>
      </c>
      <c r="H61" s="100">
        <v>422.38168259999998</v>
      </c>
      <c r="I61" s="100">
        <v>3459.6262029999998</v>
      </c>
      <c r="J61" s="100">
        <v>5038.822819</v>
      </c>
      <c r="K61" s="101">
        <f>1.54566*10^-5</f>
        <v>1.54566E-5</v>
      </c>
      <c r="L61" s="102">
        <v>14.97992</v>
      </c>
      <c r="M61" s="102">
        <v>230.67330000000001</v>
      </c>
      <c r="N61" s="102">
        <v>53.495869999999996</v>
      </c>
      <c r="O61" s="103">
        <f>2.38*10^-6</f>
        <v>2.3799999999999997E-6</v>
      </c>
      <c r="P61" s="104">
        <v>360.32089999999999</v>
      </c>
      <c r="Q61" s="104">
        <v>5644.62</v>
      </c>
      <c r="R61" s="104">
        <f t="shared" si="18"/>
        <v>5983.2972</v>
      </c>
      <c r="S61" s="105">
        <f>1.64*10^-8</f>
        <v>1.6399999999999998E-8</v>
      </c>
      <c r="T61" s="38">
        <v>1</v>
      </c>
      <c r="U61" s="37"/>
      <c r="V61" s="37"/>
      <c r="W61" s="37"/>
      <c r="X61" s="37"/>
      <c r="Y61" s="37"/>
      <c r="Z61" s="37"/>
    </row>
    <row r="62" spans="1:26" ht="12" customHeight="1">
      <c r="A62" s="37"/>
      <c r="B62" s="37" t="s">
        <v>193</v>
      </c>
      <c r="C62" s="37" t="s">
        <v>195</v>
      </c>
      <c r="D62" s="98">
        <f t="shared" si="14"/>
        <v>1.6837</v>
      </c>
      <c r="E62" s="98">
        <f t="shared" si="15"/>
        <v>19.471969440000002</v>
      </c>
      <c r="F62" s="98">
        <f t="shared" si="16"/>
        <v>11.5783087104</v>
      </c>
      <c r="G62" s="99">
        <f t="shared" si="17"/>
        <v>3.561772E-9</v>
      </c>
      <c r="H62" s="100">
        <v>1.1299999999999999</v>
      </c>
      <c r="I62" s="100">
        <f>41.868*0.278</f>
        <v>11.639304000000001</v>
      </c>
      <c r="J62" s="100">
        <f>1000*0.00356</f>
        <v>3.5599999999999996</v>
      </c>
      <c r="K62" s="101">
        <f>0</f>
        <v>0</v>
      </c>
      <c r="L62" s="102">
        <v>2.23E-2</v>
      </c>
      <c r="M62" s="102">
        <f>41.868*0.0082</f>
        <v>0.34331760000000006</v>
      </c>
      <c r="N62" s="102">
        <f>1000*7.96*10^-5</f>
        <v>7.9600000000000004E-2</v>
      </c>
      <c r="O62" s="103">
        <f>3.54*10^-9</f>
        <v>3.5400000000000002E-9</v>
      </c>
      <c r="P62" s="104">
        <f>0.521+0.0104</f>
        <v>0.53139999999999998</v>
      </c>
      <c r="Q62" s="104">
        <f>41.868*(0.175+0.00388)</f>
        <v>7.4893478399999998</v>
      </c>
      <c r="R62" s="104">
        <f t="shared" si="18"/>
        <v>7.9387087104000003</v>
      </c>
      <c r="S62" s="105">
        <f>2.13*10^-11+4.72*10^-13</f>
        <v>2.1771999999999997E-11</v>
      </c>
      <c r="T62" s="38">
        <v>1</v>
      </c>
      <c r="U62" s="37"/>
      <c r="V62" s="37"/>
      <c r="W62" s="37"/>
      <c r="X62" s="37"/>
      <c r="Y62" s="37"/>
      <c r="Z62" s="37"/>
    </row>
    <row r="63" spans="1:26" ht="12" customHeight="1">
      <c r="A63" s="37"/>
      <c r="B63" s="37" t="s">
        <v>193</v>
      </c>
      <c r="C63" s="37" t="s">
        <v>196</v>
      </c>
      <c r="D63" s="98">
        <f t="shared" si="14"/>
        <v>1.1109</v>
      </c>
      <c r="E63" s="98">
        <f t="shared" si="15"/>
        <v>14.72641544</v>
      </c>
      <c r="F63" s="98">
        <f t="shared" si="16"/>
        <v>9.9707087104000003</v>
      </c>
      <c r="G63" s="99">
        <f t="shared" si="17"/>
        <v>3.573972E-9</v>
      </c>
      <c r="H63" s="100">
        <v>0.55720000000000003</v>
      </c>
      <c r="I63" s="100">
        <v>6.8937499999999998</v>
      </c>
      <c r="J63" s="100">
        <v>1.9523999999999999</v>
      </c>
      <c r="K63" s="101">
        <f>1.22*10^-11</f>
        <v>1.2199999999999999E-11</v>
      </c>
      <c r="L63" s="102">
        <v>2.23E-2</v>
      </c>
      <c r="M63" s="102">
        <f>41.868*0.0082</f>
        <v>0.34331760000000006</v>
      </c>
      <c r="N63" s="102">
        <f>1000*7.96*10^-5</f>
        <v>7.9600000000000004E-2</v>
      </c>
      <c r="O63" s="103">
        <f>3.54*10^-9</f>
        <v>3.5400000000000002E-9</v>
      </c>
      <c r="P63" s="104">
        <f>0.521+0.0104</f>
        <v>0.53139999999999998</v>
      </c>
      <c r="Q63" s="104">
        <f>41.868*(0.175+0.00388)</f>
        <v>7.4893478399999998</v>
      </c>
      <c r="R63" s="104">
        <f t="shared" si="18"/>
        <v>7.9387087104000003</v>
      </c>
      <c r="S63" s="105">
        <f>2.13*10^-11+4.72*10^-13</f>
        <v>2.1771999999999997E-11</v>
      </c>
      <c r="T63" s="38">
        <v>1</v>
      </c>
      <c r="U63" s="37"/>
      <c r="V63" s="37"/>
      <c r="W63" s="37"/>
      <c r="X63" s="37"/>
      <c r="Y63" s="37"/>
      <c r="Z63" s="37"/>
    </row>
    <row r="64" spans="1:26" ht="12" customHeight="1">
      <c r="A64" s="37"/>
      <c r="B64" s="37" t="s">
        <v>193</v>
      </c>
      <c r="C64" s="37" t="s">
        <v>197</v>
      </c>
      <c r="D64" s="98">
        <f t="shared" si="14"/>
        <v>0.88023899999999999</v>
      </c>
      <c r="E64" s="98">
        <f t="shared" si="15"/>
        <v>10.29798244</v>
      </c>
      <c r="F64" s="98">
        <f t="shared" si="16"/>
        <v>8.0925087104000006</v>
      </c>
      <c r="G64" s="99">
        <f t="shared" si="17"/>
        <v>3.5660988400000001E-9</v>
      </c>
      <c r="H64" s="100">
        <v>0.32653900000000002</v>
      </c>
      <c r="I64" s="100">
        <v>2.4653170000000002</v>
      </c>
      <c r="J64" s="100">
        <v>7.4200000000000002E-2</v>
      </c>
      <c r="K64" s="101">
        <f>4.32684*10^-12</f>
        <v>4.3268399999999994E-12</v>
      </c>
      <c r="L64" s="102">
        <v>2.23E-2</v>
      </c>
      <c r="M64" s="102">
        <f>41.868*0.0082</f>
        <v>0.34331760000000006</v>
      </c>
      <c r="N64" s="102">
        <f>1000*7.96*10^-5</f>
        <v>7.9600000000000004E-2</v>
      </c>
      <c r="O64" s="103">
        <f>3.54*10^-9</f>
        <v>3.5400000000000002E-9</v>
      </c>
      <c r="P64" s="104">
        <f>0.521+0.0104</f>
        <v>0.53139999999999998</v>
      </c>
      <c r="Q64" s="104">
        <f>41.868*(0.175+0.00388)</f>
        <v>7.4893478399999998</v>
      </c>
      <c r="R64" s="104">
        <f t="shared" si="18"/>
        <v>7.9387087104000003</v>
      </c>
      <c r="S64" s="105">
        <f>2.13*10^-11+4.72*10^-13</f>
        <v>2.1771999999999997E-11</v>
      </c>
      <c r="T64" s="38">
        <v>1</v>
      </c>
      <c r="U64" s="37"/>
      <c r="V64" s="37"/>
      <c r="W64" s="37"/>
      <c r="X64" s="37"/>
      <c r="Y64" s="37"/>
      <c r="Z64" s="37"/>
    </row>
    <row r="65" spans="1:26" ht="12" customHeight="1">
      <c r="A65" s="37"/>
      <c r="B65" s="108" t="s">
        <v>22</v>
      </c>
      <c r="C65" s="108" t="s">
        <v>198</v>
      </c>
      <c r="D65" s="109">
        <f t="shared" si="14"/>
        <v>1.5607</v>
      </c>
      <c r="E65" s="109">
        <f t="shared" si="15"/>
        <v>16.257344400000001</v>
      </c>
      <c r="F65" s="109">
        <f t="shared" si="16"/>
        <v>4.8290000000000006</v>
      </c>
      <c r="G65" s="110">
        <f t="shared" si="17"/>
        <v>4.8700000000000008E-9</v>
      </c>
      <c r="H65" s="111">
        <v>1.53</v>
      </c>
      <c r="I65" s="111">
        <f>41.868*0.377</f>
        <v>15.784236000000002</v>
      </c>
      <c r="J65" s="111">
        <f>1000*0.00472</f>
        <v>4.7200000000000006</v>
      </c>
      <c r="K65" s="112">
        <f>0</f>
        <v>0</v>
      </c>
      <c r="L65" s="113">
        <v>3.0700000000000002E-2</v>
      </c>
      <c r="M65" s="113">
        <f>41.868*0.0113</f>
        <v>0.47310839999999998</v>
      </c>
      <c r="N65" s="113">
        <f>1000*0.000109</f>
        <v>0.10900000000000001</v>
      </c>
      <c r="O65" s="114">
        <f>4.87*10^-9</f>
        <v>4.8700000000000008E-9</v>
      </c>
      <c r="P65" s="115">
        <v>0</v>
      </c>
      <c r="Q65" s="115">
        <v>0</v>
      </c>
      <c r="R65" s="115">
        <f t="shared" si="18"/>
        <v>0</v>
      </c>
      <c r="S65" s="116">
        <v>0</v>
      </c>
      <c r="T65" s="38">
        <v>1</v>
      </c>
      <c r="U65" s="37"/>
      <c r="V65" s="37"/>
      <c r="W65" s="37"/>
      <c r="X65" s="37"/>
      <c r="Y65" s="37"/>
      <c r="Z65" s="37"/>
    </row>
    <row r="66" spans="1:26" ht="12" customHeight="1">
      <c r="A66" s="37"/>
      <c r="B66" s="108" t="s">
        <v>22</v>
      </c>
      <c r="C66" s="108" t="s">
        <v>199</v>
      </c>
      <c r="D66" s="109">
        <f t="shared" si="14"/>
        <v>2.3045999999999998</v>
      </c>
      <c r="E66" s="109">
        <f t="shared" si="15"/>
        <v>23.923375200000006</v>
      </c>
      <c r="F66" s="109">
        <f t="shared" si="16"/>
        <v>7.1189999999999998</v>
      </c>
      <c r="G66" s="110">
        <f t="shared" si="17"/>
        <v>7.0800000000000004E-9</v>
      </c>
      <c r="H66" s="111">
        <v>2.2599999999999998</v>
      </c>
      <c r="I66" s="111">
        <f>41.868*0.555</f>
        <v>23.236740000000005</v>
      </c>
      <c r="J66" s="111">
        <f>1000*0.00696</f>
        <v>6.96</v>
      </c>
      <c r="K66" s="112">
        <v>0</v>
      </c>
      <c r="L66" s="113">
        <f>0.0446</f>
        <v>4.4600000000000001E-2</v>
      </c>
      <c r="M66" s="113">
        <f>41.868*0.0164</f>
        <v>0.68663520000000011</v>
      </c>
      <c r="N66" s="113">
        <f>1000*0.000159</f>
        <v>0.159</v>
      </c>
      <c r="O66" s="114">
        <f>7.08*10^-9</f>
        <v>7.0800000000000004E-9</v>
      </c>
      <c r="P66" s="115">
        <v>0</v>
      </c>
      <c r="Q66" s="115">
        <v>0</v>
      </c>
      <c r="R66" s="115">
        <f t="shared" si="18"/>
        <v>0</v>
      </c>
      <c r="S66" s="116">
        <v>0</v>
      </c>
      <c r="T66" s="38">
        <v>1</v>
      </c>
      <c r="U66" s="37"/>
      <c r="V66" s="37"/>
      <c r="W66" s="37"/>
      <c r="X66" s="37"/>
      <c r="Y66" s="37"/>
      <c r="Z66" s="37"/>
    </row>
    <row r="67" spans="1:26" ht="12" customHeight="1">
      <c r="A67" s="37"/>
      <c r="B67" s="37" t="s">
        <v>22</v>
      </c>
      <c r="C67" s="37" t="s">
        <v>200</v>
      </c>
      <c r="D67" s="98">
        <f t="shared" si="14"/>
        <v>3.4022999999999999</v>
      </c>
      <c r="E67" s="98">
        <f t="shared" si="15"/>
        <v>27.1807056</v>
      </c>
      <c r="F67" s="98">
        <f t="shared" si="16"/>
        <v>19.079599999999999</v>
      </c>
      <c r="G67" s="99">
        <f t="shared" si="17"/>
        <v>3.5400000000000002E-9</v>
      </c>
      <c r="H67" s="100">
        <v>3.38</v>
      </c>
      <c r="I67" s="100">
        <f>0.641*41.868</f>
        <v>26.837388000000001</v>
      </c>
      <c r="J67" s="100">
        <f>0.019*1000</f>
        <v>19</v>
      </c>
      <c r="K67" s="101">
        <v>0</v>
      </c>
      <c r="L67" s="102">
        <v>2.23E-2</v>
      </c>
      <c r="M67" s="102">
        <f>0.0082*41.868</f>
        <v>0.34331760000000006</v>
      </c>
      <c r="N67" s="102">
        <f>7.96*10^-5*1000</f>
        <v>7.9600000000000004E-2</v>
      </c>
      <c r="O67" s="103">
        <f>3.54*10^-9</f>
        <v>3.5400000000000002E-9</v>
      </c>
      <c r="P67" s="104">
        <v>0</v>
      </c>
      <c r="Q67" s="104">
        <v>0</v>
      </c>
      <c r="R67" s="104">
        <f t="shared" si="18"/>
        <v>0</v>
      </c>
      <c r="S67" s="105">
        <v>0</v>
      </c>
      <c r="T67" s="38">
        <v>1</v>
      </c>
      <c r="U67" s="37"/>
      <c r="V67" s="37"/>
      <c r="W67" s="37"/>
      <c r="X67" s="37"/>
      <c r="Y67" s="37"/>
      <c r="Z67" s="37"/>
    </row>
    <row r="68" spans="1:26" ht="12" customHeight="1">
      <c r="A68" s="37"/>
      <c r="B68" s="37" t="s">
        <v>22</v>
      </c>
      <c r="C68" s="37" t="s">
        <v>201</v>
      </c>
      <c r="D68" s="98">
        <f t="shared" si="14"/>
        <v>1.0043</v>
      </c>
      <c r="E68" s="98">
        <f t="shared" si="15"/>
        <v>12.6525096</v>
      </c>
      <c r="F68" s="98">
        <f t="shared" si="16"/>
        <v>76.079599999999999</v>
      </c>
      <c r="G68" s="99">
        <f t="shared" si="17"/>
        <v>1.9353999999999997E-7</v>
      </c>
      <c r="H68" s="100">
        <v>0.98199999999999998</v>
      </c>
      <c r="I68" s="100">
        <f>0.294*41.868</f>
        <v>12.309191999999999</v>
      </c>
      <c r="J68" s="100">
        <f>1000*0.076</f>
        <v>76</v>
      </c>
      <c r="K68" s="101">
        <f>1.9*10^-7</f>
        <v>1.8999999999999998E-7</v>
      </c>
      <c r="L68" s="102">
        <v>2.23E-2</v>
      </c>
      <c r="M68" s="102">
        <f>0.0082*41.868</f>
        <v>0.34331760000000006</v>
      </c>
      <c r="N68" s="102">
        <f>7.96*10^-5*1000</f>
        <v>7.9600000000000004E-2</v>
      </c>
      <c r="O68" s="103">
        <f>3.54*10^-9</f>
        <v>3.5400000000000002E-9</v>
      </c>
      <c r="P68" s="104">
        <v>0</v>
      </c>
      <c r="Q68" s="104">
        <v>0</v>
      </c>
      <c r="R68" s="104">
        <f t="shared" si="18"/>
        <v>0</v>
      </c>
      <c r="S68" s="105">
        <v>0</v>
      </c>
      <c r="T68" s="38">
        <v>1</v>
      </c>
      <c r="U68" s="37"/>
      <c r="V68" s="37"/>
      <c r="W68" s="37"/>
      <c r="X68" s="37"/>
      <c r="Y68" s="37"/>
      <c r="Z68" s="37"/>
    </row>
    <row r="69" spans="1:26" ht="12" customHeight="1">
      <c r="A69" s="37"/>
      <c r="B69" s="37" t="s">
        <v>22</v>
      </c>
      <c r="C69" s="37" t="s">
        <v>202</v>
      </c>
      <c r="D69" s="98">
        <f t="shared" si="14"/>
        <v>3.4022999999999999</v>
      </c>
      <c r="E69" s="98">
        <f t="shared" si="15"/>
        <v>27.1807056</v>
      </c>
      <c r="F69" s="98">
        <f t="shared" si="16"/>
        <v>19.079599999999999</v>
      </c>
      <c r="G69" s="99">
        <f t="shared" si="17"/>
        <v>3.5400000000000002E-9</v>
      </c>
      <c r="H69" s="100">
        <v>3.38</v>
      </c>
      <c r="I69" s="100">
        <f>0.641*41.868</f>
        <v>26.837388000000001</v>
      </c>
      <c r="J69" s="100">
        <f>0.019*1000</f>
        <v>19</v>
      </c>
      <c r="K69" s="101">
        <v>0</v>
      </c>
      <c r="L69" s="102">
        <v>2.23E-2</v>
      </c>
      <c r="M69" s="102">
        <f>0.0082*41.868</f>
        <v>0.34331760000000006</v>
      </c>
      <c r="N69" s="102">
        <f>7.96*10^-5*1000</f>
        <v>7.9600000000000004E-2</v>
      </c>
      <c r="O69" s="103">
        <f>3.54*10^-9</f>
        <v>3.5400000000000002E-9</v>
      </c>
      <c r="P69" s="104">
        <v>0</v>
      </c>
      <c r="Q69" s="104">
        <v>0</v>
      </c>
      <c r="R69" s="104">
        <f t="shared" si="18"/>
        <v>0</v>
      </c>
      <c r="S69" s="105">
        <v>0</v>
      </c>
      <c r="T69" s="38">
        <v>1</v>
      </c>
      <c r="U69" s="37"/>
      <c r="V69" s="37"/>
      <c r="W69" s="37"/>
      <c r="X69" s="37"/>
      <c r="Y69" s="37"/>
      <c r="Z69" s="37"/>
    </row>
    <row r="70" spans="1:26" ht="12" customHeight="1">
      <c r="A70" s="37"/>
      <c r="B70" s="37" t="s">
        <v>22</v>
      </c>
      <c r="C70" s="37" t="s">
        <v>203</v>
      </c>
      <c r="D70" s="98">
        <f t="shared" si="14"/>
        <v>2.5023</v>
      </c>
      <c r="E70" s="98">
        <f t="shared" si="15"/>
        <v>80.3111976</v>
      </c>
      <c r="F70" s="98">
        <f t="shared" si="16"/>
        <v>7.9600000000000004E-2</v>
      </c>
      <c r="G70" s="99">
        <f t="shared" si="17"/>
        <v>3.54634E-9</v>
      </c>
      <c r="H70" s="100">
        <v>2.48</v>
      </c>
      <c r="I70" s="100">
        <f>1.91*41.868</f>
        <v>79.967879999999994</v>
      </c>
      <c r="J70" s="100">
        <v>0</v>
      </c>
      <c r="K70" s="101">
        <f>6.34*10^-12</f>
        <v>6.34E-12</v>
      </c>
      <c r="L70" s="102">
        <v>2.23E-2</v>
      </c>
      <c r="M70" s="102">
        <f>0.0082*41.868</f>
        <v>0.34331760000000006</v>
      </c>
      <c r="N70" s="102">
        <f>7.96*10^-5*1000</f>
        <v>7.9600000000000004E-2</v>
      </c>
      <c r="O70" s="103">
        <f>3.54*10^-9</f>
        <v>3.5400000000000002E-9</v>
      </c>
      <c r="P70" s="104">
        <v>0</v>
      </c>
      <c r="Q70" s="104">
        <v>0</v>
      </c>
      <c r="R70" s="104">
        <f t="shared" si="18"/>
        <v>0</v>
      </c>
      <c r="S70" s="105">
        <v>0</v>
      </c>
      <c r="T70" s="38">
        <v>1</v>
      </c>
      <c r="U70" s="37"/>
      <c r="V70" s="37"/>
      <c r="W70" s="37"/>
      <c r="X70" s="37"/>
      <c r="Y70" s="37"/>
      <c r="Z70" s="37"/>
    </row>
    <row r="71" spans="1:26" ht="12" customHeight="1">
      <c r="A71" s="37"/>
      <c r="B71" s="37" t="s">
        <v>22</v>
      </c>
      <c r="C71" s="37" t="s">
        <v>204</v>
      </c>
      <c r="D71" s="98">
        <f t="shared" si="14"/>
        <v>6.8709146341463425</v>
      </c>
      <c r="E71" s="98">
        <f t="shared" si="15"/>
        <v>136.78339329268294</v>
      </c>
      <c r="F71" s="98">
        <f t="shared" si="16"/>
        <v>68.788853658536596</v>
      </c>
      <c r="G71" s="99">
        <f t="shared" si="17"/>
        <v>6.7885060975609751E-8</v>
      </c>
      <c r="H71" s="100">
        <f>8.9098/3.28</f>
        <v>2.7164024390243906</v>
      </c>
      <c r="I71" s="100">
        <f>257.01853/3.28</f>
        <v>78.359307926829274</v>
      </c>
      <c r="J71" s="100">
        <f>23.3505/3.28</f>
        <v>7.1190548780487806</v>
      </c>
      <c r="K71" s="101">
        <f>2.11509*10^-7/3.28</f>
        <v>6.4484451219512193E-8</v>
      </c>
      <c r="L71" s="102">
        <f>0.0668/3.28</f>
        <v>2.0365853658536586E-2</v>
      </c>
      <c r="M71" s="102">
        <f>1.029/3.28</f>
        <v>0.31371951219512195</v>
      </c>
      <c r="N71" s="102">
        <f>0.23882/3.28</f>
        <v>7.2810975609756107E-2</v>
      </c>
      <c r="O71" s="103">
        <f>1.06*10^-8/3.28</f>
        <v>3.231707317073171E-9</v>
      </c>
      <c r="P71" s="104">
        <f>13.56/3.28</f>
        <v>4.1341463414634152</v>
      </c>
      <c r="Q71" s="104">
        <f>190.602/3.28</f>
        <v>58.110365853658543</v>
      </c>
      <c r="R71" s="104">
        <f t="shared" si="18"/>
        <v>61.596987804878061</v>
      </c>
      <c r="S71" s="105">
        <f>5.54*10^-10/3.28</f>
        <v>1.6890243902439027E-10</v>
      </c>
      <c r="T71" s="38">
        <v>1</v>
      </c>
      <c r="U71" s="37"/>
      <c r="V71" s="37"/>
      <c r="W71" s="37"/>
      <c r="X71" s="37"/>
      <c r="Y71" s="37"/>
      <c r="Z71" s="37"/>
    </row>
    <row r="72" spans="1:26" ht="12" customHeight="1">
      <c r="A72" s="37"/>
      <c r="B72" s="108" t="s">
        <v>22</v>
      </c>
      <c r="C72" s="108" t="s">
        <v>205</v>
      </c>
      <c r="D72" s="109">
        <f t="shared" si="14"/>
        <v>6.8709146341463426E-2</v>
      </c>
      <c r="E72" s="109">
        <f t="shared" si="15"/>
        <v>1.3678339329268296</v>
      </c>
      <c r="F72" s="109">
        <f t="shared" si="16"/>
        <v>7.3796615481856051E-2</v>
      </c>
      <c r="G72" s="110">
        <f t="shared" si="17"/>
        <v>6.7885060975609764E-10</v>
      </c>
      <c r="H72" s="111">
        <f>8.9098*0.1/3.28/VLOOKUP('Construction and Materials'!$C$5,'LCA Data'!$B$115:$N$119,13,FALSE)</f>
        <v>2.7164024390243909E-2</v>
      </c>
      <c r="I72" s="111">
        <f>257.01853*0.1/3.28/VLOOKUP('Construction and Materials'!$C$5,'LCA Data'!$B$115:$N$119,13,FALSE)</f>
        <v>0.7835930792682928</v>
      </c>
      <c r="J72" s="111">
        <f>23.3505*0.1/3.28/VLOOKUP('Construction and Materials'!$C$5,'LCA Data'!$B$115:$N$119,13,FALSE)</f>
        <v>7.119054878048782E-2</v>
      </c>
      <c r="K72" s="112">
        <f>2.11509*10^-7*0.1/3.28/VLOOKUP('Construction and Materials'!$C$5,'LCA Data'!$B$115:$N$119,13,FALSE)</f>
        <v>6.4484451219512202E-10</v>
      </c>
      <c r="L72" s="113">
        <f>0.0668*0.1/3.28/VLOOKUP('Construction and Materials'!$C$5,'LCA Data'!$B$115:$N$119,13,FALSE)</f>
        <v>2.0365853658536586E-4</v>
      </c>
      <c r="M72" s="113">
        <f>1.029*0.1/3.28/VLOOKUP('Construction and Materials'!$C$5,'LCA Data'!$B$115:$N$119,13,FALSE)</f>
        <v>3.1371951219512197E-3</v>
      </c>
      <c r="N72" s="113">
        <f>0.23882*0.1/3.28/VLOOKUP('Construction and Materials'!$C$5,'LCA Data'!$B$115:$N$119,13,FALSE)</f>
        <v>7.2810975609756098E-4</v>
      </c>
      <c r="O72" s="114">
        <f>1.06*10^-8*0.1/3.28/VLOOKUP('Construction and Materials'!$C$5,'LCA Data'!$B$115:$N$119,13,FALSE)</f>
        <v>3.2317073170731708E-11</v>
      </c>
      <c r="P72" s="115">
        <f>13.56*0.1/3.28/VLOOKUP('Construction and Materials'!$C$5,'LCA Data'!$B$115:$N$119,13,FALSE)</f>
        <v>4.1341463414634148E-2</v>
      </c>
      <c r="Q72" s="115">
        <f>190.602*0.1/3.28/VLOOKUP('Construction and Materials'!$C$5,'LCA Data'!$B$115:$N$119,13,FALSE)</f>
        <v>0.58110365853658552</v>
      </c>
      <c r="R72" s="115">
        <f>1.06*Q72*0.1/3.28/VLOOKUP('Construction and Materials'!$C$5,'LCA Data'!$B$115:$N$119,13,FALSE)</f>
        <v>1.877956945270673E-3</v>
      </c>
      <c r="S72" s="116">
        <f>5.54*10^-10*0.1/3.28/VLOOKUP('Construction and Materials'!$C$5,'LCA Data'!$B$115:$N$119,13,FALSE)</f>
        <v>1.6890243902439028E-12</v>
      </c>
      <c r="T72" s="117">
        <v>1</v>
      </c>
      <c r="U72" s="37"/>
      <c r="V72" s="37"/>
      <c r="W72" s="37"/>
      <c r="X72" s="37"/>
      <c r="Y72" s="37"/>
      <c r="Z72" s="37"/>
    </row>
    <row r="73" spans="1:26" ht="12" customHeight="1">
      <c r="A73" s="37"/>
      <c r="B73" s="37" t="s">
        <v>22</v>
      </c>
      <c r="C73" s="37" t="s">
        <v>206</v>
      </c>
      <c r="D73" s="98">
        <f t="shared" ref="D73:D107" si="19">H73+L73+P73</f>
        <v>4036.4392885714287</v>
      </c>
      <c r="E73" s="98">
        <f t="shared" ref="E73:E107" si="20">I73+M73+Q73</f>
        <v>50516.988881428573</v>
      </c>
      <c r="F73" s="98">
        <f t="shared" ref="F73:F107" si="21">J73+N73+R73</f>
        <v>30488.951746314284</v>
      </c>
      <c r="G73" s="99">
        <f t="shared" ref="G73:G107" si="22">K73+O73+S73</f>
        <v>3.1703000003218209E-4</v>
      </c>
      <c r="H73" s="100">
        <f>804.0977*5</f>
        <v>4020.4885000000004</v>
      </c>
      <c r="I73" s="100">
        <f>10054.41*5</f>
        <v>50272.05</v>
      </c>
      <c r="J73" s="100">
        <f>6086.388*5</f>
        <v>30431.94</v>
      </c>
      <c r="K73" s="101">
        <f>6.29*10^-5*5</f>
        <v>3.1450000000000006E-4</v>
      </c>
      <c r="L73" s="102">
        <f>3.19*5</f>
        <v>15.95</v>
      </c>
      <c r="M73" s="102">
        <f>1.17*41.868*5</f>
        <v>244.92779999999999</v>
      </c>
      <c r="N73" s="102">
        <f>0.0114*1000*5</f>
        <v>57</v>
      </c>
      <c r="O73" s="103">
        <f>5.06*10^-7*5</f>
        <v>2.5299999999999995E-6</v>
      </c>
      <c r="P73" s="104">
        <f>P77/2/7</f>
        <v>7.8857142857142852E-4</v>
      </c>
      <c r="Q73" s="104">
        <f>Q77/2/7</f>
        <v>1.1081428571428572E-2</v>
      </c>
      <c r="R73" s="104">
        <f>1.06*Q73</f>
        <v>1.1746314285714286E-2</v>
      </c>
      <c r="S73" s="104">
        <f>S77/2/7</f>
        <v>3.2182071428571432E-14</v>
      </c>
      <c r="T73" s="38">
        <v>2</v>
      </c>
      <c r="U73" s="37"/>
      <c r="V73" s="37"/>
      <c r="W73" s="37"/>
      <c r="X73" s="37"/>
      <c r="Y73" s="37"/>
      <c r="Z73" s="37"/>
    </row>
    <row r="74" spans="1:26" ht="12" customHeight="1">
      <c r="A74" s="37"/>
      <c r="B74" s="37" t="s">
        <v>22</v>
      </c>
      <c r="C74" s="37" t="s">
        <v>207</v>
      </c>
      <c r="D74" s="98">
        <f t="shared" si="19"/>
        <v>6278.254277586253</v>
      </c>
      <c r="E74" s="98">
        <f t="shared" si="20"/>
        <v>76663.761287853078</v>
      </c>
      <c r="F74" s="98">
        <f t="shared" si="21"/>
        <v>41313.557436101932</v>
      </c>
      <c r="G74" s="99">
        <f t="shared" si="22"/>
        <v>4.1367026419742223E-4</v>
      </c>
      <c r="H74" s="100">
        <f t="shared" ref="H74:Q74" si="23">H78/H77*H73</f>
        <v>6254.2140127185276</v>
      </c>
      <c r="I74" s="100">
        <f t="shared" si="23"/>
        <v>76294.596528185284</v>
      </c>
      <c r="J74" s="100">
        <f t="shared" si="23"/>
        <v>41227.630135257874</v>
      </c>
      <c r="K74" s="101">
        <f t="shared" si="23"/>
        <v>4.0985372340425534E-4</v>
      </c>
      <c r="L74" s="102">
        <f t="shared" si="23"/>
        <v>24.039139867725794</v>
      </c>
      <c r="M74" s="102">
        <f t="shared" si="23"/>
        <v>369.14893109636535</v>
      </c>
      <c r="N74" s="102">
        <f t="shared" si="23"/>
        <v>85.91052255833813</v>
      </c>
      <c r="O74" s="103">
        <f t="shared" si="23"/>
        <v>3.8165407472026343E-6</v>
      </c>
      <c r="P74" s="104">
        <f t="shared" si="23"/>
        <v>1.1250000000000001E-3</v>
      </c>
      <c r="Q74" s="104">
        <f t="shared" si="23"/>
        <v>1.5828571428571428E-2</v>
      </c>
      <c r="R74" s="104">
        <f>1.06*Q74</f>
        <v>1.6778285714285714E-2</v>
      </c>
      <c r="S74" s="104">
        <f>S78/S77*S73</f>
        <v>4.5964285714285718E-14</v>
      </c>
      <c r="T74" s="38">
        <v>2</v>
      </c>
      <c r="U74" s="37"/>
      <c r="V74" s="37"/>
      <c r="W74" s="37"/>
      <c r="X74" s="37"/>
      <c r="Y74" s="37"/>
      <c r="Z74" s="37"/>
    </row>
    <row r="75" spans="1:26" ht="12" customHeight="1">
      <c r="A75" s="37"/>
      <c r="B75" s="37" t="s">
        <v>22</v>
      </c>
      <c r="C75" s="37" t="s">
        <v>208</v>
      </c>
      <c r="D75" s="98">
        <f t="shared" si="19"/>
        <v>3362.5581043707416</v>
      </c>
      <c r="E75" s="98">
        <f t="shared" si="20"/>
        <v>42945.576530358812</v>
      </c>
      <c r="F75" s="98">
        <f t="shared" si="21"/>
        <v>54067.111915713889</v>
      </c>
      <c r="G75" s="99">
        <f t="shared" si="22"/>
        <v>4.854016091136844E-4</v>
      </c>
      <c r="H75" s="100">
        <v>3342.5321462569063</v>
      </c>
      <c r="I75" s="100">
        <v>42637.229901965387</v>
      </c>
      <c r="J75" s="100">
        <v>53995.67463352967</v>
      </c>
      <c r="K75" s="101">
        <v>4.8222629815552635E-4</v>
      </c>
      <c r="L75" s="102">
        <v>20.003875711434233</v>
      </c>
      <c r="M75" s="102">
        <v>308.03634607490216</v>
      </c>
      <c r="N75" s="102">
        <v>71.437282184217267</v>
      </c>
      <c r="O75" s="103">
        <v>3.1753100570603056E-6</v>
      </c>
      <c r="P75" s="104">
        <v>2.208240240101874E-2</v>
      </c>
      <c r="Q75" s="104">
        <v>0.31028231852213956</v>
      </c>
      <c r="R75" s="104">
        <v>0</v>
      </c>
      <c r="S75" s="104">
        <v>9.0109771217663464E-13</v>
      </c>
      <c r="T75" s="38">
        <v>2</v>
      </c>
      <c r="U75" s="37"/>
      <c r="V75" s="37"/>
      <c r="W75" s="37"/>
      <c r="X75" s="37"/>
      <c r="Y75" s="37"/>
      <c r="Z75" s="37"/>
    </row>
    <row r="76" spans="1:26" ht="12" customHeight="1">
      <c r="A76" s="37"/>
      <c r="B76" s="37" t="s">
        <v>22</v>
      </c>
      <c r="C76" s="37" t="s">
        <v>209</v>
      </c>
      <c r="D76" s="98">
        <f t="shared" si="19"/>
        <v>4051.668916048251</v>
      </c>
      <c r="E76" s="98">
        <f t="shared" si="20"/>
        <v>50824.507115609995</v>
      </c>
      <c r="F76" s="98">
        <f t="shared" si="21"/>
        <v>30995.469489758936</v>
      </c>
      <c r="G76" s="99">
        <f t="shared" si="22"/>
        <v>3.1494665950950986E-4</v>
      </c>
      <c r="H76" s="100">
        <f t="shared" ref="H76:Q76" si="24">H79/H77*H73</f>
        <v>4034.7739069825188</v>
      </c>
      <c r="I76" s="100">
        <f t="shared" si="24"/>
        <v>50565.06989494562</v>
      </c>
      <c r="J76" s="100">
        <f t="shared" si="24"/>
        <v>30935.083091054883</v>
      </c>
      <c r="K76" s="101">
        <f t="shared" si="24"/>
        <v>3.1226950354609935E-4</v>
      </c>
      <c r="L76" s="102">
        <f t="shared" si="24"/>
        <v>16.894223351446467</v>
      </c>
      <c r="M76" s="102">
        <f t="shared" si="24"/>
        <v>259.42614923580362</v>
      </c>
      <c r="N76" s="102">
        <f t="shared" si="24"/>
        <v>60.374662989767209</v>
      </c>
      <c r="O76" s="103">
        <f t="shared" si="24"/>
        <v>2.6771559312319107E-6</v>
      </c>
      <c r="P76" s="104">
        <f t="shared" si="24"/>
        <v>7.8571428571428564E-4</v>
      </c>
      <c r="Q76" s="104">
        <f t="shared" si="24"/>
        <v>1.1071428571428571E-2</v>
      </c>
      <c r="R76" s="104">
        <f t="shared" ref="R76:R82" si="25">1.06*Q76</f>
        <v>1.1735714285714285E-2</v>
      </c>
      <c r="S76" s="104">
        <f>S79/S77*S73</f>
        <v>3.2178571428571431E-14</v>
      </c>
      <c r="T76" s="38">
        <v>2</v>
      </c>
      <c r="U76" s="37"/>
      <c r="V76" s="37"/>
      <c r="W76" s="37"/>
      <c r="X76" s="37"/>
      <c r="Y76" s="37"/>
      <c r="Z76" s="37"/>
    </row>
    <row r="77" spans="1:26" ht="12" customHeight="1">
      <c r="A77" s="37"/>
      <c r="B77" s="108" t="s">
        <v>22</v>
      </c>
      <c r="C77" s="108" t="s">
        <v>210</v>
      </c>
      <c r="D77" s="109">
        <f t="shared" si="19"/>
        <v>733.03298999999993</v>
      </c>
      <c r="E77" s="109">
        <f t="shared" si="20"/>
        <v>10293.683140000001</v>
      </c>
      <c r="F77" s="109">
        <f t="shared" si="21"/>
        <v>5561.5499484000002</v>
      </c>
      <c r="G77" s="110">
        <f t="shared" si="22"/>
        <v>5.7987655450549006E-5</v>
      </c>
      <c r="H77" s="111">
        <f>1446.04/2</f>
        <v>723.02</v>
      </c>
      <c r="I77" s="111">
        <f>20279.02/2</f>
        <v>10139.51</v>
      </c>
      <c r="J77" s="111">
        <f>11051.334/2</f>
        <v>5525.6670000000004</v>
      </c>
      <c r="K77" s="112">
        <f>0.0001128/2</f>
        <v>5.6400000000000002E-5</v>
      </c>
      <c r="L77" s="113">
        <f>20.0039/2</f>
        <v>10.001950000000001</v>
      </c>
      <c r="M77" s="113">
        <f>308.036/2</f>
        <v>154.018</v>
      </c>
      <c r="N77" s="113">
        <f>71.437/2</f>
        <v>35.718499999999999</v>
      </c>
      <c r="O77" s="114">
        <f>3.17531*10^-6/2</f>
        <v>1.5876549999999999E-6</v>
      </c>
      <c r="P77" s="115">
        <f>0.02208/2</f>
        <v>1.1039999999999999E-2</v>
      </c>
      <c r="Q77" s="115">
        <f>0.31028/2</f>
        <v>0.15514</v>
      </c>
      <c r="R77" s="115">
        <f t="shared" si="25"/>
        <v>0.16444839999999999</v>
      </c>
      <c r="S77" s="116">
        <f>9.01098*10^-13/2</f>
        <v>4.5054900000000001E-13</v>
      </c>
      <c r="T77" s="117">
        <v>2</v>
      </c>
      <c r="U77" s="37"/>
      <c r="V77" s="37"/>
      <c r="W77" s="37"/>
      <c r="X77" s="37"/>
      <c r="Y77" s="37"/>
      <c r="Z77" s="37"/>
    </row>
    <row r="78" spans="1:26" ht="12" customHeight="1">
      <c r="A78" s="37"/>
      <c r="B78" s="108" t="s">
        <v>22</v>
      </c>
      <c r="C78" s="108" t="s">
        <v>211</v>
      </c>
      <c r="D78" s="109">
        <f t="shared" si="19"/>
        <v>1139.8097499999999</v>
      </c>
      <c r="E78" s="109">
        <f t="shared" si="20"/>
        <v>15620.4236</v>
      </c>
      <c r="F78" s="109">
        <f t="shared" si="21"/>
        <v>7539.9598960000003</v>
      </c>
      <c r="G78" s="110">
        <f t="shared" si="22"/>
        <v>7.5895000643500001E-5</v>
      </c>
      <c r="H78" s="111">
        <f>2249.439/2</f>
        <v>1124.7194999999999</v>
      </c>
      <c r="I78" s="111">
        <f>30776.14/2</f>
        <v>15388.07</v>
      </c>
      <c r="J78" s="111">
        <f>14971.78/2</f>
        <v>7485.89</v>
      </c>
      <c r="K78" s="112">
        <f>0.000147/2</f>
        <v>7.3499999999999998E-5</v>
      </c>
      <c r="L78" s="113">
        <f>30.149/2</f>
        <v>15.0745</v>
      </c>
      <c r="M78" s="113">
        <f>464.264/2</f>
        <v>232.13200000000001</v>
      </c>
      <c r="N78" s="113">
        <f>107.67/2</f>
        <v>53.835000000000001</v>
      </c>
      <c r="O78" s="114">
        <f>4.79*10^-6/2</f>
        <v>2.3949999999999999E-6</v>
      </c>
      <c r="P78" s="115">
        <f>0.0315/2</f>
        <v>1.575E-2</v>
      </c>
      <c r="Q78" s="115">
        <f>0.4432/2</f>
        <v>0.22159999999999999</v>
      </c>
      <c r="R78" s="115">
        <f t="shared" si="25"/>
        <v>0.23489599999999999</v>
      </c>
      <c r="S78" s="116">
        <f>1.287*10^-12/2</f>
        <v>6.4349999999999993E-13</v>
      </c>
      <c r="T78" s="117">
        <v>2</v>
      </c>
      <c r="U78" s="37"/>
      <c r="V78" s="37"/>
      <c r="W78" s="37"/>
      <c r="X78" s="37"/>
      <c r="Y78" s="37"/>
      <c r="Z78" s="37"/>
    </row>
    <row r="79" spans="1:26" ht="12" customHeight="1">
      <c r="A79" s="37"/>
      <c r="B79" s="108" t="s">
        <v>22</v>
      </c>
      <c r="C79" s="108" t="s">
        <v>212</v>
      </c>
      <c r="D79" s="109">
        <f t="shared" si="19"/>
        <v>736.19405500000005</v>
      </c>
      <c r="E79" s="109">
        <f t="shared" si="20"/>
        <v>10361.900000000001</v>
      </c>
      <c r="F79" s="109">
        <f t="shared" si="21"/>
        <v>5655.0225</v>
      </c>
      <c r="G79" s="110">
        <f t="shared" si="22"/>
        <v>5.7680000450499999E-5</v>
      </c>
      <c r="H79" s="111">
        <f>1451.178/2</f>
        <v>725.58900000000006</v>
      </c>
      <c r="I79" s="111">
        <f>20397.22/2</f>
        <v>10198.61</v>
      </c>
      <c r="J79" s="111">
        <f>11234.05/2</f>
        <v>5617.0249999999996</v>
      </c>
      <c r="K79" s="112">
        <f>0.000112/2</f>
        <v>5.5999999999999999E-5</v>
      </c>
      <c r="L79" s="113">
        <f>21.18811/2</f>
        <v>10.594055000000001</v>
      </c>
      <c r="M79" s="113">
        <f>326.27/2</f>
        <v>163.13499999999999</v>
      </c>
      <c r="N79" s="113">
        <f>75.6664/2</f>
        <v>37.833199999999998</v>
      </c>
      <c r="O79" s="114">
        <f>3.36*10^-6/2</f>
        <v>1.6799999999999998E-6</v>
      </c>
      <c r="P79" s="115">
        <f>0.022/2</f>
        <v>1.0999999999999999E-2</v>
      </c>
      <c r="Q79" s="115">
        <f>0.31/2</f>
        <v>0.155</v>
      </c>
      <c r="R79" s="115">
        <f t="shared" si="25"/>
        <v>0.1643</v>
      </c>
      <c r="S79" s="116">
        <f>9.01*10^-13/2</f>
        <v>4.505E-13</v>
      </c>
      <c r="T79" s="117">
        <v>2</v>
      </c>
      <c r="U79" s="37"/>
      <c r="V79" s="37"/>
      <c r="W79" s="37"/>
      <c r="X79" s="37"/>
      <c r="Y79" s="37"/>
      <c r="Z79" s="37"/>
    </row>
    <row r="80" spans="1:26" ht="12" customHeight="1">
      <c r="A80" s="37"/>
      <c r="B80" s="108" t="s">
        <v>22</v>
      </c>
      <c r="C80" s="108" t="s">
        <v>213</v>
      </c>
      <c r="D80" s="109">
        <f t="shared" si="19"/>
        <v>62.101200000000006</v>
      </c>
      <c r="E80" s="109">
        <f t="shared" si="20"/>
        <v>908.97102720000009</v>
      </c>
      <c r="F80" s="109">
        <f t="shared" si="21"/>
        <v>625.07399999999996</v>
      </c>
      <c r="G80" s="110">
        <f t="shared" si="22"/>
        <v>4.937760000000001E-6</v>
      </c>
      <c r="H80" s="111">
        <f>10.3*6</f>
        <v>61.800000000000004</v>
      </c>
      <c r="I80" s="111">
        <f>3.6*41.868*6</f>
        <v>904.3488000000001</v>
      </c>
      <c r="J80" s="111">
        <f>0.104*1000*6</f>
        <v>624</v>
      </c>
      <c r="K80" s="112">
        <f>8.15*10^-7*6</f>
        <v>4.8900000000000006E-6</v>
      </c>
      <c r="L80" s="113">
        <f>0.0502*6</f>
        <v>0.30120000000000002</v>
      </c>
      <c r="M80" s="113">
        <f>0.0184*41.868*6</f>
        <v>4.6222272000000002</v>
      </c>
      <c r="N80" s="113">
        <f>0.000179*1000*6</f>
        <v>1.0739999999999998</v>
      </c>
      <c r="O80" s="114">
        <f>7.96*10^-9*6</f>
        <v>4.7759999999999999E-8</v>
      </c>
      <c r="P80" s="115">
        <v>0</v>
      </c>
      <c r="Q80" s="115">
        <v>0</v>
      </c>
      <c r="R80" s="115">
        <f t="shared" si="25"/>
        <v>0</v>
      </c>
      <c r="S80" s="116">
        <v>0</v>
      </c>
      <c r="T80" s="117">
        <v>50</v>
      </c>
      <c r="U80" s="37"/>
      <c r="V80" s="37"/>
      <c r="W80" s="37"/>
      <c r="X80" s="37"/>
      <c r="Y80" s="37"/>
      <c r="Z80" s="37"/>
    </row>
    <row r="81" spans="1:26" ht="12" customHeight="1">
      <c r="A81" s="37"/>
      <c r="B81" s="37" t="s">
        <v>22</v>
      </c>
      <c r="C81" s="37" t="s">
        <v>214</v>
      </c>
      <c r="D81" s="98">
        <f t="shared" si="19"/>
        <v>49.129867808138279</v>
      </c>
      <c r="E81" s="98">
        <f t="shared" si="20"/>
        <v>576.62657117837455</v>
      </c>
      <c r="F81" s="98">
        <f t="shared" si="21"/>
        <v>193.03188217883317</v>
      </c>
      <c r="G81" s="99">
        <f t="shared" si="22"/>
        <v>7.6853400048000715E-6</v>
      </c>
      <c r="H81" s="100">
        <v>48.629350479802625</v>
      </c>
      <c r="I81" s="100">
        <v>568.91992929448691</v>
      </c>
      <c r="J81" s="100">
        <v>191.23822321190531</v>
      </c>
      <c r="K81" s="101">
        <v>7.6059777666005766E-6</v>
      </c>
      <c r="L81" s="102">
        <v>0.49996752158199398</v>
      </c>
      <c r="M81" s="102">
        <v>7.6989164873856426</v>
      </c>
      <c r="N81" s="102">
        <v>1.7854700466357631</v>
      </c>
      <c r="O81" s="103">
        <v>7.9362215764001714E-8</v>
      </c>
      <c r="P81" s="104">
        <v>5.4980675365801774E-4</v>
      </c>
      <c r="Q81" s="104">
        <v>7.7253965019798004E-3</v>
      </c>
      <c r="R81" s="104">
        <f t="shared" si="25"/>
        <v>8.1889202920985889E-3</v>
      </c>
      <c r="S81" s="105">
        <v>2.2435494058275383E-14</v>
      </c>
      <c r="T81" s="38">
        <v>2</v>
      </c>
      <c r="U81" s="37"/>
      <c r="V81" s="37"/>
      <c r="W81" s="37"/>
      <c r="X81" s="37"/>
      <c r="Y81" s="37"/>
      <c r="Z81" s="37"/>
    </row>
    <row r="82" spans="1:26" ht="12" customHeight="1">
      <c r="A82" s="37"/>
      <c r="B82" s="37" t="s">
        <v>22</v>
      </c>
      <c r="C82" s="37" t="s">
        <v>215</v>
      </c>
      <c r="D82" s="98">
        <f t="shared" si="19"/>
        <v>70.627443999999997</v>
      </c>
      <c r="E82" s="98">
        <f t="shared" si="20"/>
        <v>813.62519999999995</v>
      </c>
      <c r="F82" s="98">
        <f t="shared" si="21"/>
        <v>291.38709999999998</v>
      </c>
      <c r="G82" s="99">
        <f t="shared" si="22"/>
        <v>1.1801000030400002E-5</v>
      </c>
      <c r="H82" s="100">
        <v>69.944699999999997</v>
      </c>
      <c r="I82" s="100">
        <v>803.11469999999997</v>
      </c>
      <c r="J82" s="100">
        <v>288.94</v>
      </c>
      <c r="K82" s="101">
        <f>1.1693*10^-5</f>
        <v>1.1693000000000001E-5</v>
      </c>
      <c r="L82" s="102">
        <v>0.68200000000000005</v>
      </c>
      <c r="M82" s="102">
        <v>10.5</v>
      </c>
      <c r="N82" s="102">
        <v>2.4359700000000002</v>
      </c>
      <c r="O82" s="103">
        <f>1.08*10^-7</f>
        <v>1.08E-7</v>
      </c>
      <c r="P82" s="104">
        <f>0.000744</f>
        <v>7.4399999999999998E-4</v>
      </c>
      <c r="Q82" s="104">
        <f>0.0105</f>
        <v>1.0500000000000001E-2</v>
      </c>
      <c r="R82" s="104">
        <f t="shared" si="25"/>
        <v>1.1130000000000001E-2</v>
      </c>
      <c r="S82" s="105">
        <f>3.04*10^-14</f>
        <v>3.0400000000000002E-14</v>
      </c>
      <c r="T82" s="38">
        <v>2</v>
      </c>
      <c r="U82" s="37"/>
      <c r="V82" s="37"/>
      <c r="W82" s="37"/>
      <c r="X82" s="37"/>
      <c r="Y82" s="37"/>
      <c r="Z82" s="37"/>
    </row>
    <row r="83" spans="1:26" ht="12" customHeight="1">
      <c r="A83" s="37"/>
      <c r="B83" s="37" t="s">
        <v>22</v>
      </c>
      <c r="C83" s="37" t="s">
        <v>216</v>
      </c>
      <c r="D83" s="98">
        <f t="shared" si="19"/>
        <v>1.2139668451612902</v>
      </c>
      <c r="E83" s="98">
        <f t="shared" si="20"/>
        <v>12.968303870967743</v>
      </c>
      <c r="F83" s="98">
        <f t="shared" si="21"/>
        <v>1.9057430870343393</v>
      </c>
      <c r="G83" s="99">
        <f t="shared" si="22"/>
        <v>7.6774194211612916E-8</v>
      </c>
      <c r="H83" s="100">
        <f>186.469/155</f>
        <v>1.2030258064516128</v>
      </c>
      <c r="I83" s="100">
        <f>1983.973/155</f>
        <v>12.799825806451613</v>
      </c>
      <c r="J83" s="100">
        <f>289.34/155</f>
        <v>1.8667096774193548</v>
      </c>
      <c r="K83" s="101">
        <f>1.19*10^-5/155</f>
        <v>7.6774193548387111E-8</v>
      </c>
      <c r="L83" s="102">
        <f>1.694/155</f>
        <v>1.0929032258064516E-2</v>
      </c>
      <c r="M83" s="102">
        <f>26.088/155</f>
        <v>0.16830967741935485</v>
      </c>
      <c r="N83" s="102">
        <f>6.05/155</f>
        <v>3.9032258064516129E-2</v>
      </c>
      <c r="O83" s="103">
        <f>2.69*10^-14/155</f>
        <v>1.7354838709677419E-16</v>
      </c>
      <c r="P83" s="104">
        <f>0.001861/155</f>
        <v>1.2006451612903226E-5</v>
      </c>
      <c r="Q83" s="104">
        <f>0.0261/155</f>
        <v>1.6838709677419357E-4</v>
      </c>
      <c r="R83" s="104">
        <f>1.06*Q83/155</f>
        <v>1.151550468262227E-6</v>
      </c>
      <c r="S83" s="105">
        <f>7.59*10^-14/155</f>
        <v>4.8967741935483866E-16</v>
      </c>
      <c r="T83" s="38">
        <v>2</v>
      </c>
      <c r="U83" s="37"/>
      <c r="V83" s="37"/>
      <c r="W83" s="37"/>
      <c r="X83" s="37"/>
      <c r="Y83" s="37"/>
      <c r="Z83" s="37"/>
    </row>
    <row r="84" spans="1:26" ht="12" customHeight="1">
      <c r="A84" s="37"/>
      <c r="B84" s="37" t="s">
        <v>22</v>
      </c>
      <c r="C84" s="37" t="s">
        <v>217</v>
      </c>
      <c r="D84" s="98">
        <f t="shared" si="19"/>
        <v>0.4779621165711101</v>
      </c>
      <c r="E84" s="98">
        <f t="shared" si="20"/>
        <v>10.154856318363365</v>
      </c>
      <c r="F84" s="98">
        <f t="shared" si="21"/>
        <v>2.4973266271045134</v>
      </c>
      <c r="G84" s="99">
        <f t="shared" si="22"/>
        <v>3.0302428732541019E-8</v>
      </c>
      <c r="H84" s="100">
        <v>0.45247142546125946</v>
      </c>
      <c r="I84" s="100">
        <v>9.7715127841527369</v>
      </c>
      <c r="J84" s="100">
        <v>2.4306289441951021</v>
      </c>
      <c r="K84" s="101">
        <v>2.7337510671122507E-8</v>
      </c>
      <c r="L84" s="102">
        <v>1.8676692654679146E-2</v>
      </c>
      <c r="M84" s="102">
        <v>0.28759927592379647</v>
      </c>
      <c r="N84" s="102">
        <v>6.6697682909411041E-2</v>
      </c>
      <c r="O84" s="103">
        <v>2.9646400084101813E-9</v>
      </c>
      <c r="P84" s="104">
        <v>6.8139984551714968E-3</v>
      </c>
      <c r="Q84" s="104">
        <v>9.5744258286831641E-2</v>
      </c>
      <c r="R84" s="104">
        <v>0</v>
      </c>
      <c r="S84" s="105">
        <v>2.7805300832879008E-13</v>
      </c>
      <c r="T84" s="38">
        <v>3</v>
      </c>
      <c r="U84" s="37"/>
      <c r="V84" s="37"/>
      <c r="W84" s="37"/>
      <c r="X84" s="37"/>
      <c r="Y84" s="37"/>
      <c r="Z84" s="37"/>
    </row>
    <row r="85" spans="1:26" ht="12" customHeight="1">
      <c r="A85" s="37"/>
      <c r="B85" s="37" t="s">
        <v>22</v>
      </c>
      <c r="C85" s="37" t="s">
        <v>218</v>
      </c>
      <c r="D85" s="98">
        <f t="shared" si="19"/>
        <v>0.79533858194347384</v>
      </c>
      <c r="E85" s="98">
        <f t="shared" si="20"/>
        <v>5.848636988054662</v>
      </c>
      <c r="F85" s="98">
        <f t="shared" si="21"/>
        <v>8.5628171974797365</v>
      </c>
      <c r="G85" s="99">
        <f t="shared" si="22"/>
        <v>4.5262568449221781E-8</v>
      </c>
      <c r="H85" s="100">
        <v>0.7607233754712075</v>
      </c>
      <c r="I85" s="100">
        <v>5.3402622389167842</v>
      </c>
      <c r="J85" s="100">
        <v>8.5045415304577272</v>
      </c>
      <c r="K85" s="101">
        <v>4.2671531352303786E-8</v>
      </c>
      <c r="L85" s="102">
        <v>1.631835876856514E-2</v>
      </c>
      <c r="M85" s="102">
        <v>0.25128368521953348</v>
      </c>
      <c r="N85" s="102">
        <v>5.8275667022009037E-2</v>
      </c>
      <c r="O85" s="103">
        <v>2.5902904730993337E-9</v>
      </c>
      <c r="P85" s="104">
        <v>1.8296847703701234E-2</v>
      </c>
      <c r="Q85" s="104">
        <v>0.25709106391834413</v>
      </c>
      <c r="R85" s="104">
        <v>0</v>
      </c>
      <c r="S85" s="105">
        <v>7.4662381866063964E-13</v>
      </c>
      <c r="T85" s="38">
        <v>1</v>
      </c>
      <c r="U85" s="37"/>
      <c r="V85" s="37"/>
      <c r="W85" s="37"/>
      <c r="X85" s="37"/>
      <c r="Y85" s="37"/>
      <c r="Z85" s="37"/>
    </row>
    <row r="86" spans="1:26" ht="12" customHeight="1">
      <c r="A86" s="37"/>
      <c r="B86" s="37" t="s">
        <v>22</v>
      </c>
      <c r="C86" s="37" t="s">
        <v>219</v>
      </c>
      <c r="D86" s="98">
        <f t="shared" si="19"/>
        <v>2.4794880000000004</v>
      </c>
      <c r="E86" s="98">
        <f t="shared" si="20"/>
        <v>34.247334000000002</v>
      </c>
      <c r="F86" s="98">
        <f t="shared" si="21"/>
        <v>16.201366039999996</v>
      </c>
      <c r="G86" s="99">
        <f t="shared" si="22"/>
        <v>1.0387000155000001E-7</v>
      </c>
      <c r="H86" s="100">
        <v>2.4456000000000002</v>
      </c>
      <c r="I86" s="100">
        <v>33.7256</v>
      </c>
      <c r="J86" s="100">
        <v>16.079999999999998</v>
      </c>
      <c r="K86" s="101">
        <f>9.85*10^-8</f>
        <v>9.8500000000000002E-8</v>
      </c>
      <c r="L86" s="102">
        <f>0.03385</f>
        <v>3.3849999999999998E-2</v>
      </c>
      <c r="M86" s="102">
        <f>0.5212</f>
        <v>0.5212</v>
      </c>
      <c r="N86" s="102">
        <v>0.1208</v>
      </c>
      <c r="O86" s="103">
        <f>5.37*10^-9</f>
        <v>5.3700000000000003E-9</v>
      </c>
      <c r="P86" s="104">
        <f>3.8*10^-5</f>
        <v>3.8000000000000002E-5</v>
      </c>
      <c r="Q86" s="104">
        <f>0.000534</f>
        <v>5.3399999999999997E-4</v>
      </c>
      <c r="R86" s="104">
        <f t="shared" ref="R86:R91" si="26">1.06*Q86</f>
        <v>5.6603999999999997E-4</v>
      </c>
      <c r="S86" s="105">
        <f>1.55*10^-15</f>
        <v>1.5500000000000001E-15</v>
      </c>
      <c r="T86" s="38">
        <v>2</v>
      </c>
      <c r="U86" s="37"/>
      <c r="V86" s="37"/>
      <c r="W86" s="37"/>
      <c r="X86" s="37"/>
      <c r="Y86" s="37"/>
      <c r="Z86" s="37"/>
    </row>
    <row r="87" spans="1:26" ht="12" customHeight="1">
      <c r="A87" s="37"/>
      <c r="B87" s="37" t="s">
        <v>22</v>
      </c>
      <c r="C87" s="37" t="s">
        <v>220</v>
      </c>
      <c r="D87" s="98">
        <f t="shared" si="19"/>
        <v>0.36737245826542314</v>
      </c>
      <c r="E87" s="98">
        <f t="shared" si="20"/>
        <v>4.8987213029000012</v>
      </c>
      <c r="F87" s="98">
        <f t="shared" si="21"/>
        <v>3.3923287078880096</v>
      </c>
      <c r="G87" s="99">
        <f t="shared" si="22"/>
        <v>1.1614408428941351E-8</v>
      </c>
      <c r="H87" s="100">
        <v>0.36291414917778825</v>
      </c>
      <c r="I87" s="100">
        <v>4.8300685446918017</v>
      </c>
      <c r="J87" s="100">
        <v>3.3764073190520274</v>
      </c>
      <c r="K87" s="101">
        <v>1.0906719882574573E-8</v>
      </c>
      <c r="L87" s="102">
        <v>4.4583090876348687E-3</v>
      </c>
      <c r="M87" s="102">
        <v>6.8652758208199521E-2</v>
      </c>
      <c r="N87" s="102">
        <v>1.5921388835982153E-2</v>
      </c>
      <c r="O87" s="103">
        <v>7.076885463667773E-10</v>
      </c>
      <c r="P87" s="104">
        <v>0</v>
      </c>
      <c r="Q87" s="104">
        <v>0</v>
      </c>
      <c r="R87" s="104">
        <f t="shared" si="26"/>
        <v>0</v>
      </c>
      <c r="S87" s="105">
        <v>0</v>
      </c>
      <c r="T87" s="38">
        <v>1</v>
      </c>
      <c r="U87" s="37"/>
      <c r="V87" s="37"/>
      <c r="W87" s="37"/>
      <c r="X87" s="37"/>
      <c r="Y87" s="37"/>
      <c r="Z87" s="37"/>
    </row>
    <row r="88" spans="1:26" ht="12" customHeight="1">
      <c r="A88" s="37"/>
      <c r="B88" s="37" t="s">
        <v>22</v>
      </c>
      <c r="C88" s="37" t="s">
        <v>221</v>
      </c>
      <c r="D88" s="98">
        <f t="shared" si="19"/>
        <v>1.00170117</v>
      </c>
      <c r="E88" s="98">
        <f t="shared" si="20"/>
        <v>13.690826022855601</v>
      </c>
      <c r="F88" s="98">
        <f t="shared" si="21"/>
        <v>7.3998047400000004</v>
      </c>
      <c r="G88" s="99">
        <f t="shared" si="22"/>
        <v>3.3458280399999998E-8</v>
      </c>
      <c r="H88" s="100">
        <v>0.98776895399999998</v>
      </c>
      <c r="I88" s="100">
        <v>13.476286155420002</v>
      </c>
      <c r="J88" s="100">
        <v>7.3500504000000006</v>
      </c>
      <c r="K88" s="101">
        <v>3.1246753699999998E-8</v>
      </c>
      <c r="L88" s="102">
        <v>1.3932216000000001E-2</v>
      </c>
      <c r="M88" s="102">
        <v>0.2145398674356</v>
      </c>
      <c r="N88" s="102">
        <v>4.9754340000000001E-2</v>
      </c>
      <c r="O88" s="103">
        <v>2.2115266999999999E-9</v>
      </c>
      <c r="P88" s="104">
        <v>0</v>
      </c>
      <c r="Q88" s="104">
        <v>0</v>
      </c>
      <c r="R88" s="104">
        <f t="shared" si="26"/>
        <v>0</v>
      </c>
      <c r="S88" s="105">
        <v>0</v>
      </c>
      <c r="T88" s="38">
        <v>1</v>
      </c>
      <c r="U88" s="37"/>
      <c r="V88" s="37"/>
      <c r="W88" s="37"/>
      <c r="X88" s="37"/>
      <c r="Y88" s="37"/>
      <c r="Z88" s="37"/>
    </row>
    <row r="89" spans="1:26" ht="12" customHeight="1">
      <c r="A89" s="37"/>
      <c r="B89" s="37" t="s">
        <v>222</v>
      </c>
      <c r="C89" s="37" t="s">
        <v>223</v>
      </c>
      <c r="D89" s="98">
        <f t="shared" si="19"/>
        <v>16.746396939600004</v>
      </c>
      <c r="E89" s="98">
        <f t="shared" si="20"/>
        <v>196.75893677877792</v>
      </c>
      <c r="F89" s="98">
        <f t="shared" si="21"/>
        <v>47.6587773563</v>
      </c>
      <c r="G89" s="99">
        <f t="shared" si="22"/>
        <v>4.7246531564400004E-7</v>
      </c>
      <c r="H89" s="100">
        <v>16.745895379820002</v>
      </c>
      <c r="I89" s="100">
        <v>196.75121334360048</v>
      </c>
      <c r="J89" s="100">
        <v>47.656986199999999</v>
      </c>
      <c r="K89" s="101">
        <v>4.7238570068200004E-7</v>
      </c>
      <c r="L89" s="102">
        <v>5.0155977999999997E-4</v>
      </c>
      <c r="M89" s="102">
        <v>7.72343517744E-3</v>
      </c>
      <c r="N89" s="102">
        <v>1.7911563E-3</v>
      </c>
      <c r="O89" s="103">
        <v>7.9614962000000005E-11</v>
      </c>
      <c r="P89" s="104">
        <v>0</v>
      </c>
      <c r="Q89" s="104">
        <v>0</v>
      </c>
      <c r="R89" s="104">
        <f t="shared" si="26"/>
        <v>0</v>
      </c>
      <c r="S89" s="105">
        <v>0</v>
      </c>
      <c r="T89" s="38">
        <v>2</v>
      </c>
      <c r="U89" s="37"/>
      <c r="V89" s="37"/>
      <c r="W89" s="37"/>
      <c r="X89" s="37"/>
      <c r="Y89" s="37"/>
      <c r="Z89" s="37"/>
    </row>
    <row r="90" spans="1:26" ht="12" customHeight="1">
      <c r="A90" s="37"/>
      <c r="B90" s="37" t="s">
        <v>222</v>
      </c>
      <c r="C90" s="37" t="s">
        <v>224</v>
      </c>
      <c r="D90" s="98">
        <f t="shared" si="19"/>
        <v>5.2688302966698757</v>
      </c>
      <c r="E90" s="98">
        <f t="shared" si="20"/>
        <v>52.388826871184406</v>
      </c>
      <c r="F90" s="98">
        <f t="shared" si="21"/>
        <v>44.269827770142015</v>
      </c>
      <c r="G90" s="99">
        <f t="shared" si="22"/>
        <v>4.1655670636918335E-9</v>
      </c>
      <c r="H90" s="100">
        <v>3.9027371093733199</v>
      </c>
      <c r="I90" s="100">
        <v>30.995142466714334</v>
      </c>
      <c r="J90" s="100">
        <v>21.9222554042104</v>
      </c>
      <c r="K90" s="101">
        <v>0</v>
      </c>
      <c r="L90" s="102">
        <v>2.5858192762647197E-2</v>
      </c>
      <c r="M90" s="102">
        <v>0.3981859983552738</v>
      </c>
      <c r="N90" s="102">
        <v>9.2344055449933335E-2</v>
      </c>
      <c r="O90" s="103">
        <v>4.1045935745485638E-9</v>
      </c>
      <c r="P90" s="104">
        <v>1.3402349945339083</v>
      </c>
      <c r="Q90" s="104">
        <v>20.995498406114795</v>
      </c>
      <c r="R90" s="104">
        <f t="shared" si="26"/>
        <v>22.255228310481684</v>
      </c>
      <c r="S90" s="105">
        <v>6.0973489143269687E-11</v>
      </c>
      <c r="T90" s="38">
        <v>1</v>
      </c>
      <c r="U90" s="37"/>
      <c r="V90" s="37"/>
      <c r="W90" s="37"/>
      <c r="X90" s="37"/>
      <c r="Y90" s="37"/>
      <c r="Z90" s="37"/>
    </row>
    <row r="91" spans="1:26" ht="12" customHeight="1">
      <c r="A91" s="37"/>
      <c r="B91" s="37" t="s">
        <v>222</v>
      </c>
      <c r="C91" s="37" t="s">
        <v>225</v>
      </c>
      <c r="D91" s="98">
        <f t="shared" si="19"/>
        <v>9.3724000000000002E-2</v>
      </c>
      <c r="E91" s="98">
        <f t="shared" si="20"/>
        <v>2.3264372880000002</v>
      </c>
      <c r="F91" s="98">
        <f t="shared" si="21"/>
        <v>0.93458999999999992</v>
      </c>
      <c r="G91" s="99">
        <f t="shared" si="22"/>
        <v>1.8515000000000004E-8</v>
      </c>
      <c r="H91" s="100">
        <v>9.2999999999999999E-2</v>
      </c>
      <c r="I91" s="100">
        <f>0.0553*41.868</f>
        <v>2.3153004000000004</v>
      </c>
      <c r="J91" s="100">
        <f>0.000932*1000</f>
        <v>0.93199999999999994</v>
      </c>
      <c r="K91" s="101">
        <f>1.84*10^-8</f>
        <v>1.8400000000000003E-8</v>
      </c>
      <c r="L91" s="102">
        <v>7.2400000000000003E-4</v>
      </c>
      <c r="M91" s="102">
        <f>0.000266*41.868</f>
        <v>1.1136888000000001E-2</v>
      </c>
      <c r="N91" s="102">
        <f>2.59*10^-6*1000</f>
        <v>2.5899999999999999E-3</v>
      </c>
      <c r="O91" s="103">
        <f>1.15*10^-10</f>
        <v>1.1499999999999999E-10</v>
      </c>
      <c r="P91" s="104">
        <v>0</v>
      </c>
      <c r="Q91" s="104">
        <v>0</v>
      </c>
      <c r="R91" s="104">
        <f t="shared" si="26"/>
        <v>0</v>
      </c>
      <c r="S91" s="105">
        <v>0</v>
      </c>
      <c r="T91" s="38">
        <v>1</v>
      </c>
      <c r="U91" s="37"/>
      <c r="V91" s="37"/>
      <c r="W91" s="37"/>
      <c r="X91" s="37"/>
      <c r="Y91" s="37"/>
      <c r="Z91" s="37"/>
    </row>
    <row r="92" spans="1:26" ht="12" customHeight="1">
      <c r="A92" s="37"/>
      <c r="B92" s="37" t="s">
        <v>222</v>
      </c>
      <c r="C92" s="37" t="s">
        <v>226</v>
      </c>
      <c r="D92" s="98">
        <f t="shared" si="19"/>
        <v>0.77831883455955742</v>
      </c>
      <c r="E92" s="98">
        <f t="shared" si="20"/>
        <v>7.7037688362452421</v>
      </c>
      <c r="F92" s="98">
        <f t="shared" si="21"/>
        <v>3.2728019864070532</v>
      </c>
      <c r="G92" s="99">
        <f t="shared" si="22"/>
        <v>3.8909906105057287E-10</v>
      </c>
      <c r="H92" s="100">
        <v>0.58112177373782692</v>
      </c>
      <c r="I92" s="100">
        <v>4.6152102134304238</v>
      </c>
      <c r="J92" s="100">
        <v>3.2642475236755182</v>
      </c>
      <c r="K92" s="101">
        <v>0</v>
      </c>
      <c r="L92" s="102">
        <v>2.3954216133906161E-3</v>
      </c>
      <c r="M92" s="102">
        <v>3.688669797479293E-2</v>
      </c>
      <c r="N92" s="102">
        <v>8.5544627315349356E-3</v>
      </c>
      <c r="O92" s="103">
        <v>3.802366334301901E-10</v>
      </c>
      <c r="P92" s="104">
        <v>0.19480163920833993</v>
      </c>
      <c r="Q92" s="104">
        <v>3.0516719248400253</v>
      </c>
      <c r="R92" s="104">
        <v>0</v>
      </c>
      <c r="S92" s="105">
        <v>8.8624276203827672E-12</v>
      </c>
      <c r="T92" s="38">
        <v>2</v>
      </c>
      <c r="U92" s="37"/>
      <c r="V92" s="37"/>
      <c r="W92" s="37"/>
      <c r="X92" s="37"/>
      <c r="Y92" s="37"/>
      <c r="Z92" s="37"/>
    </row>
    <row r="93" spans="1:26" ht="12" customHeight="1">
      <c r="A93" s="37"/>
      <c r="B93" s="37" t="s">
        <v>222</v>
      </c>
      <c r="C93" s="37" t="s">
        <v>227</v>
      </c>
      <c r="D93" s="98">
        <f t="shared" si="19"/>
        <v>102.62165682428915</v>
      </c>
      <c r="E93" s="98">
        <f t="shared" si="20"/>
        <v>1005.9095152759947</v>
      </c>
      <c r="F93" s="98">
        <f t="shared" si="21"/>
        <v>703.8120940297058</v>
      </c>
      <c r="G93" s="99">
        <f t="shared" si="22"/>
        <v>8.3355606978131954E-7</v>
      </c>
      <c r="H93" s="100">
        <v>101.73835433393796</v>
      </c>
      <c r="I93" s="100">
        <v>992.30768752519452</v>
      </c>
      <c r="J93" s="100">
        <v>700.65766885395669</v>
      </c>
      <c r="K93" s="101">
        <v>6.9334527633539383E-7</v>
      </c>
      <c r="L93" s="102">
        <v>0.88330249035118957</v>
      </c>
      <c r="M93" s="102">
        <v>13.60182775080022</v>
      </c>
      <c r="N93" s="102">
        <v>3.1544251757491431</v>
      </c>
      <c r="O93" s="103">
        <v>1.4021079344592574E-7</v>
      </c>
      <c r="P93" s="104">
        <v>0</v>
      </c>
      <c r="Q93" s="104">
        <v>0</v>
      </c>
      <c r="R93" s="104">
        <f>1.06*Q93</f>
        <v>0</v>
      </c>
      <c r="S93" s="105">
        <v>0</v>
      </c>
      <c r="T93" s="38">
        <v>1</v>
      </c>
      <c r="U93" s="37"/>
      <c r="V93" s="37"/>
      <c r="W93" s="37"/>
      <c r="X93" s="37"/>
      <c r="Y93" s="37"/>
      <c r="Z93" s="37"/>
    </row>
    <row r="94" spans="1:26" ht="12" customHeight="1">
      <c r="A94" s="37"/>
      <c r="B94" s="37" t="s">
        <v>222</v>
      </c>
      <c r="C94" s="37" t="s">
        <v>228</v>
      </c>
      <c r="D94" s="98">
        <f t="shared" si="19"/>
        <v>307.86497047286741</v>
      </c>
      <c r="E94" s="98">
        <f t="shared" si="20"/>
        <v>3017.7285458279844</v>
      </c>
      <c r="F94" s="98">
        <f t="shared" si="21"/>
        <v>2111.4362820891174</v>
      </c>
      <c r="G94" s="99">
        <f t="shared" si="22"/>
        <v>2.5006682093439587E-6</v>
      </c>
      <c r="H94" s="100">
        <f t="shared" ref="H94:O94" si="27">3*H93</f>
        <v>305.21506300181386</v>
      </c>
      <c r="I94" s="100">
        <f t="shared" si="27"/>
        <v>2976.9230625755836</v>
      </c>
      <c r="J94" s="100">
        <f t="shared" si="27"/>
        <v>2101.9730065618701</v>
      </c>
      <c r="K94" s="101">
        <f t="shared" si="27"/>
        <v>2.0800358290061815E-6</v>
      </c>
      <c r="L94" s="102">
        <f t="shared" si="27"/>
        <v>2.6499074710535688</v>
      </c>
      <c r="M94" s="102">
        <f t="shared" si="27"/>
        <v>40.805483252400663</v>
      </c>
      <c r="N94" s="102">
        <f t="shared" si="27"/>
        <v>9.4632755272474292</v>
      </c>
      <c r="O94" s="103">
        <f t="shared" si="27"/>
        <v>4.2063238033777724E-7</v>
      </c>
      <c r="P94" s="104">
        <v>0</v>
      </c>
      <c r="Q94" s="104">
        <v>0</v>
      </c>
      <c r="R94" s="104">
        <f>1.06*Q94</f>
        <v>0</v>
      </c>
      <c r="S94" s="105">
        <v>0</v>
      </c>
      <c r="T94" s="38">
        <v>1</v>
      </c>
      <c r="U94" s="37"/>
      <c r="V94" s="37"/>
      <c r="W94" s="37"/>
      <c r="X94" s="37"/>
      <c r="Y94" s="37"/>
      <c r="Z94" s="37"/>
    </row>
    <row r="95" spans="1:26" ht="12" customHeight="1">
      <c r="A95" s="37"/>
      <c r="B95" s="37" t="s">
        <v>222</v>
      </c>
      <c r="C95" s="37" t="s">
        <v>229</v>
      </c>
      <c r="D95" s="98">
        <f t="shared" si="19"/>
        <v>3.2684909319999999E-3</v>
      </c>
      <c r="E95" s="98">
        <f t="shared" si="20"/>
        <v>3.8505149093448002E-2</v>
      </c>
      <c r="F95" s="98">
        <f t="shared" si="21"/>
        <v>2.9431233070000003E-2</v>
      </c>
      <c r="G95" s="99">
        <f t="shared" si="22"/>
        <v>2.9216348140000003E-10</v>
      </c>
      <c r="H95" s="100">
        <v>3.2684909319999999E-3</v>
      </c>
      <c r="I95" s="100">
        <v>3.8505149093448002E-2</v>
      </c>
      <c r="J95" s="100">
        <v>2.9431233070000003E-2</v>
      </c>
      <c r="K95" s="101">
        <v>2.9216348140000003E-10</v>
      </c>
      <c r="L95" s="102">
        <v>0</v>
      </c>
      <c r="M95" s="102">
        <v>0</v>
      </c>
      <c r="N95" s="102">
        <v>0</v>
      </c>
      <c r="O95" s="103">
        <v>0</v>
      </c>
      <c r="P95" s="104">
        <v>0</v>
      </c>
      <c r="Q95" s="104">
        <v>0</v>
      </c>
      <c r="R95" s="104">
        <v>0</v>
      </c>
      <c r="S95" s="105">
        <v>0</v>
      </c>
      <c r="T95" s="38">
        <v>1</v>
      </c>
      <c r="U95" s="37"/>
      <c r="V95" s="37"/>
      <c r="W95" s="37"/>
      <c r="X95" s="37"/>
      <c r="Y95" s="37"/>
      <c r="Z95" s="37"/>
    </row>
    <row r="96" spans="1:26" ht="12" customHeight="1">
      <c r="A96" s="37"/>
      <c r="B96" s="37" t="s">
        <v>222</v>
      </c>
      <c r="C96" s="37" t="s">
        <v>230</v>
      </c>
      <c r="D96" s="98">
        <f t="shared" si="19"/>
        <v>4.0375000000000003E-4</v>
      </c>
      <c r="E96" s="98">
        <f t="shared" si="20"/>
        <v>1.9004637799999998E-2</v>
      </c>
      <c r="F96" s="98">
        <f t="shared" si="21"/>
        <v>0</v>
      </c>
      <c r="G96" s="98">
        <f t="shared" si="22"/>
        <v>4.5692161999999996E-4</v>
      </c>
      <c r="H96" s="100">
        <v>2.0000000000000001E-4</v>
      </c>
      <c r="I96" s="100">
        <v>1.9E-2</v>
      </c>
      <c r="J96" s="100">
        <v>0</v>
      </c>
      <c r="K96" s="101">
        <v>4.4999999999999999E-4</v>
      </c>
      <c r="L96" s="102">
        <v>3.7500000000000001E-6</v>
      </c>
      <c r="M96" s="102">
        <v>4.5700000000000003E-6</v>
      </c>
      <c r="N96" s="102">
        <v>0</v>
      </c>
      <c r="O96" s="103">
        <v>6.9199999999999998E-6</v>
      </c>
      <c r="P96" s="104">
        <v>2.0000000000000001E-4</v>
      </c>
      <c r="Q96" s="104">
        <v>6.7799999999999998E-8</v>
      </c>
      <c r="R96" s="104">
        <v>0</v>
      </c>
      <c r="S96" s="105">
        <v>1.62E-9</v>
      </c>
      <c r="T96" s="38">
        <v>1</v>
      </c>
      <c r="U96" s="37"/>
      <c r="V96" s="37"/>
      <c r="W96" s="37"/>
      <c r="X96" s="37"/>
      <c r="Y96" s="37"/>
      <c r="Z96" s="37"/>
    </row>
    <row r="97" spans="1:26" ht="12" customHeight="1">
      <c r="A97" s="37"/>
      <c r="B97" s="37" t="s">
        <v>231</v>
      </c>
      <c r="C97" s="37" t="s">
        <v>232</v>
      </c>
      <c r="D97" s="98">
        <f t="shared" si="19"/>
        <v>173.75389397000001</v>
      </c>
      <c r="E97" s="98">
        <f t="shared" si="20"/>
        <v>1241.8906440859203</v>
      </c>
      <c r="F97" s="98">
        <f t="shared" si="21"/>
        <v>4.7764167000000004</v>
      </c>
      <c r="G97" s="99">
        <f t="shared" si="22"/>
        <v>2.1334426181699999E-7</v>
      </c>
      <c r="H97" s="100">
        <v>171.68841</v>
      </c>
      <c r="I97" s="100">
        <v>1211.0657293440001</v>
      </c>
      <c r="J97" s="100">
        <v>0</v>
      </c>
      <c r="K97" s="101">
        <v>1.0079953E-9</v>
      </c>
      <c r="L97" s="102">
        <v>1.3374927000000001</v>
      </c>
      <c r="M97" s="102">
        <v>20.59582755852</v>
      </c>
      <c r="N97" s="102">
        <v>4.7764167000000004</v>
      </c>
      <c r="O97" s="103">
        <v>2.1230655999999999E-7</v>
      </c>
      <c r="P97" s="104">
        <v>0.72799126999999997</v>
      </c>
      <c r="Q97" s="104">
        <v>10.229087183400001</v>
      </c>
      <c r="R97" s="104">
        <v>0</v>
      </c>
      <c r="S97" s="105">
        <v>2.9706516999999999E-11</v>
      </c>
      <c r="T97" s="38">
        <v>1</v>
      </c>
      <c r="U97" s="37"/>
      <c r="V97" s="37"/>
      <c r="W97" s="37"/>
      <c r="X97" s="37"/>
      <c r="Y97" s="37"/>
      <c r="Z97" s="37"/>
    </row>
    <row r="98" spans="1:26" ht="12" customHeight="1">
      <c r="A98" s="37"/>
      <c r="B98" s="37" t="s">
        <v>231</v>
      </c>
      <c r="C98" s="37" t="s">
        <v>233</v>
      </c>
      <c r="D98" s="98">
        <f t="shared" si="19"/>
        <v>2.182511361</v>
      </c>
      <c r="E98" s="98">
        <f t="shared" si="20"/>
        <v>22.259405727536002</v>
      </c>
      <c r="F98" s="98">
        <f t="shared" si="21"/>
        <v>15.31892128</v>
      </c>
      <c r="G98" s="99">
        <f t="shared" si="22"/>
        <v>1.7460682265900001E-7</v>
      </c>
      <c r="H98" s="100">
        <v>1.7822876000000001</v>
      </c>
      <c r="I98" s="100">
        <v>21.579602047920002</v>
      </c>
      <c r="J98" s="100">
        <v>15.06024</v>
      </c>
      <c r="K98" s="101">
        <v>1.68842E-7</v>
      </c>
      <c r="L98" s="102">
        <v>3.6223761E-2</v>
      </c>
      <c r="M98" s="102">
        <v>0.55780367961599997</v>
      </c>
      <c r="N98" s="102">
        <v>0.12936128</v>
      </c>
      <c r="O98" s="103">
        <v>5.7499694000000004E-9</v>
      </c>
      <c r="P98" s="104">
        <v>0.36399999999999999</v>
      </c>
      <c r="Q98" s="104">
        <v>0.122</v>
      </c>
      <c r="R98" s="104">
        <f t="shared" ref="R98:R107" si="28">1.06*Q98</f>
        <v>0.12931999999999999</v>
      </c>
      <c r="S98" s="105">
        <v>1.4853259E-11</v>
      </c>
      <c r="T98" s="38">
        <v>2</v>
      </c>
      <c r="U98" s="37"/>
      <c r="V98" s="37"/>
      <c r="W98" s="37"/>
      <c r="X98" s="37"/>
      <c r="Y98" s="37"/>
      <c r="Z98" s="37"/>
    </row>
    <row r="99" spans="1:26" ht="12" customHeight="1">
      <c r="A99" s="37"/>
      <c r="B99" s="37" t="s">
        <v>231</v>
      </c>
      <c r="C99" s="37" t="s">
        <v>234</v>
      </c>
      <c r="D99" s="98">
        <f t="shared" si="19"/>
        <v>0.53515942850484577</v>
      </c>
      <c r="E99" s="98">
        <f t="shared" si="20"/>
        <v>16.372109959799047</v>
      </c>
      <c r="F99" s="98">
        <f t="shared" si="21"/>
        <v>1.6509377595561192</v>
      </c>
      <c r="G99" s="99">
        <f t="shared" si="22"/>
        <v>1.5375906186797203E-8</v>
      </c>
      <c r="H99" s="100">
        <v>0.5258248438385742</v>
      </c>
      <c r="I99" s="100">
        <v>16.22836824711025</v>
      </c>
      <c r="J99" s="100">
        <v>1.6176023516150344</v>
      </c>
      <c r="K99" s="101">
        <v>1.3894183291408173E-8</v>
      </c>
      <c r="L99" s="102">
        <v>9.3345846662716073E-3</v>
      </c>
      <c r="M99" s="102">
        <v>0.14374171268879671</v>
      </c>
      <c r="N99" s="102">
        <v>3.3335407941084715E-2</v>
      </c>
      <c r="O99" s="103">
        <v>1.4817228953890304E-9</v>
      </c>
      <c r="P99" s="104">
        <v>0</v>
      </c>
      <c r="Q99" s="104">
        <v>0</v>
      </c>
      <c r="R99" s="104">
        <f t="shared" si="28"/>
        <v>0</v>
      </c>
      <c r="S99" s="105">
        <v>0</v>
      </c>
      <c r="T99" s="38">
        <v>1</v>
      </c>
      <c r="U99" s="37"/>
      <c r="V99" s="37"/>
      <c r="W99" s="37"/>
      <c r="X99" s="37"/>
      <c r="Y99" s="37"/>
      <c r="Z99" s="37"/>
    </row>
    <row r="100" spans="1:26" ht="12" customHeight="1">
      <c r="A100" s="37"/>
      <c r="B100" s="37" t="s">
        <v>231</v>
      </c>
      <c r="C100" s="37" t="s">
        <v>235</v>
      </c>
      <c r="D100" s="98">
        <f t="shared" si="19"/>
        <v>18.420100218469489</v>
      </c>
      <c r="E100" s="98">
        <f t="shared" si="20"/>
        <v>259.70638000734726</v>
      </c>
      <c r="F100" s="98">
        <f t="shared" si="21"/>
        <v>232.46918124333854</v>
      </c>
      <c r="G100" s="99">
        <f t="shared" si="22"/>
        <v>6.5091261902663084E-7</v>
      </c>
      <c r="H100" s="100">
        <v>18.180466106390888</v>
      </c>
      <c r="I100" s="100">
        <v>256.01629426996425</v>
      </c>
      <c r="J100" s="100">
        <v>231.61340659994582</v>
      </c>
      <c r="K100" s="101">
        <v>6.1287435976022694E-7</v>
      </c>
      <c r="L100" s="102">
        <v>0.23963411207860275</v>
      </c>
      <c r="M100" s="102">
        <v>3.6900857373830198</v>
      </c>
      <c r="N100" s="102">
        <v>0.85577464339272868</v>
      </c>
      <c r="O100" s="103">
        <v>3.8038259266403898E-8</v>
      </c>
      <c r="P100" s="104">
        <v>0</v>
      </c>
      <c r="Q100" s="104">
        <v>0</v>
      </c>
      <c r="R100" s="104">
        <f t="shared" si="28"/>
        <v>0</v>
      </c>
      <c r="S100" s="105">
        <v>0</v>
      </c>
      <c r="T100" s="38">
        <v>2</v>
      </c>
      <c r="U100" s="37"/>
      <c r="V100" s="37"/>
      <c r="W100" s="37"/>
      <c r="X100" s="37"/>
      <c r="Y100" s="37"/>
      <c r="Z100" s="37"/>
    </row>
    <row r="101" spans="1:26" ht="12" customHeight="1">
      <c r="A101" s="37"/>
      <c r="B101" s="37" t="s">
        <v>231</v>
      </c>
      <c r="C101" s="37" t="s">
        <v>236</v>
      </c>
      <c r="D101" s="98">
        <f t="shared" si="19"/>
        <v>162.70639046270662</v>
      </c>
      <c r="E101" s="98">
        <f t="shared" si="20"/>
        <v>2212.5616491919591</v>
      </c>
      <c r="F101" s="98">
        <f t="shared" si="21"/>
        <v>785.2285180313562</v>
      </c>
      <c r="G101" s="99">
        <f t="shared" si="22"/>
        <v>2.0897491841194627E-5</v>
      </c>
      <c r="H101" s="100">
        <v>161.94847791599074</v>
      </c>
      <c r="I101" s="100">
        <v>2200.8906802721199</v>
      </c>
      <c r="J101" s="100">
        <v>782.5218819219599</v>
      </c>
      <c r="K101" s="101">
        <v>2.0777184788137314E-5</v>
      </c>
      <c r="L101" s="102">
        <v>0.75791254671589547</v>
      </c>
      <c r="M101" s="102">
        <v>11.670968919839057</v>
      </c>
      <c r="N101" s="102">
        <v>2.7066361093963196</v>
      </c>
      <c r="O101" s="103">
        <v>1.2030705305731205E-7</v>
      </c>
      <c r="P101" s="104">
        <v>0</v>
      </c>
      <c r="Q101" s="104">
        <v>0</v>
      </c>
      <c r="R101" s="104">
        <f t="shared" si="28"/>
        <v>0</v>
      </c>
      <c r="S101" s="105">
        <v>0</v>
      </c>
      <c r="T101" s="38">
        <v>2</v>
      </c>
      <c r="U101" s="37"/>
      <c r="V101" s="37"/>
      <c r="W101" s="37"/>
      <c r="X101" s="37"/>
      <c r="Y101" s="37"/>
      <c r="Z101" s="37"/>
    </row>
    <row r="102" spans="1:26" ht="12" customHeight="1">
      <c r="A102" s="37"/>
      <c r="B102" s="37" t="s">
        <v>231</v>
      </c>
      <c r="C102" s="37" t="s">
        <v>237</v>
      </c>
      <c r="D102" s="98">
        <f t="shared" si="19"/>
        <v>2021.0038218718901</v>
      </c>
      <c r="E102" s="98">
        <f t="shared" si="20"/>
        <v>41280.976013916705</v>
      </c>
      <c r="F102" s="98">
        <f t="shared" si="21"/>
        <v>5358.3514847035676</v>
      </c>
      <c r="G102" s="99">
        <f t="shared" si="22"/>
        <v>4.4616950245766698E-5</v>
      </c>
      <c r="H102" s="100">
        <f>1900.44932639202+108.3228</f>
        <v>2008.77212639202</v>
      </c>
      <c r="I102" s="100">
        <f>39788.4355575404+1309.6691</f>
        <v>41098.104657540396</v>
      </c>
      <c r="J102" s="100">
        <f>4312.5545396585+1003.2859</f>
        <v>5315.8404396585001</v>
      </c>
      <c r="K102" s="101">
        <f>0.0000399269761606125+2.80566*10^-6</f>
        <v>4.2732636160612493E-5</v>
      </c>
      <c r="L102" s="102">
        <f>10.0311954798699+1.8365</f>
        <v>11.867695479869901</v>
      </c>
      <c r="M102" s="102">
        <f>154.468706376307+28.28065</f>
        <v>182.74935637630702</v>
      </c>
      <c r="N102" s="102">
        <f>35.8231250450679+6.5586</f>
        <v>42.381725045067896</v>
      </c>
      <c r="O102" s="103">
        <f>1.59229923189521E-06+2.92*10^-7</f>
        <v>1.8842992318952098E-6</v>
      </c>
      <c r="P102" s="104">
        <v>0.36399999999999999</v>
      </c>
      <c r="Q102" s="104">
        <v>0.122</v>
      </c>
      <c r="R102" s="104">
        <f t="shared" si="28"/>
        <v>0.12931999999999999</v>
      </c>
      <c r="S102" s="105">
        <v>1.4853259E-11</v>
      </c>
      <c r="T102" s="38">
        <v>2</v>
      </c>
      <c r="U102" s="37"/>
      <c r="V102" s="37"/>
      <c r="W102" s="37"/>
      <c r="X102" s="37"/>
      <c r="Y102" s="37"/>
      <c r="Z102" s="37"/>
    </row>
    <row r="103" spans="1:26" ht="12" customHeight="1">
      <c r="A103" s="37"/>
      <c r="B103" s="37" t="s">
        <v>231</v>
      </c>
      <c r="C103" s="37" t="s">
        <v>238</v>
      </c>
      <c r="D103" s="98">
        <f t="shared" si="19"/>
        <v>43.640676000000006</v>
      </c>
      <c r="E103" s="98">
        <f t="shared" si="20"/>
        <v>632.93139999999994</v>
      </c>
      <c r="F103" s="98">
        <f t="shared" si="21"/>
        <v>542.41579489999992</v>
      </c>
      <c r="G103" s="99">
        <f t="shared" si="22"/>
        <v>3.6117699999999999E-6</v>
      </c>
      <c r="H103" s="100">
        <f>43.459</f>
        <v>43.459000000000003</v>
      </c>
      <c r="I103" s="100">
        <f>630.1338</f>
        <v>630.13379999999995</v>
      </c>
      <c r="J103" s="100">
        <f>541.7669979</f>
        <v>541.76699789999998</v>
      </c>
      <c r="K103" s="101">
        <f>3.58297*10^-6</f>
        <v>3.5829699999999998E-6</v>
      </c>
      <c r="L103" s="102">
        <f>0.181676</f>
        <v>0.181676</v>
      </c>
      <c r="M103" s="102">
        <f>2.7976</f>
        <v>2.7976000000000001</v>
      </c>
      <c r="N103" s="102">
        <v>0.64879699999999996</v>
      </c>
      <c r="O103" s="103">
        <f>2.88*10^-8</f>
        <v>2.88E-8</v>
      </c>
      <c r="P103" s="104">
        <v>0</v>
      </c>
      <c r="Q103" s="104">
        <v>0</v>
      </c>
      <c r="R103" s="104">
        <f t="shared" si="28"/>
        <v>0</v>
      </c>
      <c r="S103" s="105">
        <v>0</v>
      </c>
      <c r="T103" s="38">
        <v>2</v>
      </c>
      <c r="U103" s="37"/>
      <c r="V103" s="37"/>
      <c r="W103" s="37"/>
      <c r="X103" s="37"/>
      <c r="Y103" s="37"/>
      <c r="Z103" s="37"/>
    </row>
    <row r="104" spans="1:26" ht="12" customHeight="1">
      <c r="A104" s="37"/>
      <c r="B104" s="37" t="s">
        <v>231</v>
      </c>
      <c r="C104" s="37" t="s">
        <v>239</v>
      </c>
      <c r="D104" s="98">
        <f t="shared" si="19"/>
        <v>3.88</v>
      </c>
      <c r="E104" s="98">
        <f t="shared" si="20"/>
        <v>90.586619999999996</v>
      </c>
      <c r="F104" s="98">
        <f t="shared" si="21"/>
        <v>10.72866</v>
      </c>
      <c r="G104" s="99">
        <f t="shared" si="22"/>
        <v>7.114E-8</v>
      </c>
      <c r="H104" s="100">
        <v>3.84</v>
      </c>
      <c r="I104" s="100">
        <v>89.942999999999998</v>
      </c>
      <c r="J104" s="100">
        <v>10.5794</v>
      </c>
      <c r="K104" s="101">
        <f>6.451*10^-8</f>
        <v>6.451E-8</v>
      </c>
      <c r="L104" s="102">
        <v>0.04</v>
      </c>
      <c r="M104" s="102">
        <v>0.64361999999999997</v>
      </c>
      <c r="N104" s="102">
        <v>0.14926</v>
      </c>
      <c r="O104" s="103">
        <f>6.63*10^-9</f>
        <v>6.6300000000000005E-9</v>
      </c>
      <c r="P104" s="104">
        <v>0</v>
      </c>
      <c r="Q104" s="104">
        <v>0</v>
      </c>
      <c r="R104" s="104">
        <f t="shared" si="28"/>
        <v>0</v>
      </c>
      <c r="S104" s="105">
        <v>0</v>
      </c>
      <c r="T104" s="38">
        <v>2</v>
      </c>
      <c r="U104" s="37"/>
      <c r="V104" s="37"/>
      <c r="W104" s="37"/>
      <c r="X104" s="37"/>
      <c r="Y104" s="37"/>
      <c r="Z104" s="37"/>
    </row>
    <row r="105" spans="1:26" ht="12" customHeight="1">
      <c r="A105" s="37"/>
      <c r="B105" s="37" t="s">
        <v>231</v>
      </c>
      <c r="C105" s="37" t="s">
        <v>240</v>
      </c>
      <c r="D105" s="98">
        <f t="shared" si="19"/>
        <v>153.25408999999999</v>
      </c>
      <c r="E105" s="98">
        <f t="shared" si="20"/>
        <v>2217.1003999999998</v>
      </c>
      <c r="F105" s="98">
        <f t="shared" si="21"/>
        <v>2221.5423879999998</v>
      </c>
      <c r="G105" s="99">
        <f t="shared" si="22"/>
        <v>2.7416613E-5</v>
      </c>
      <c r="H105" s="100">
        <v>150.72399999999999</v>
      </c>
      <c r="I105" s="100">
        <v>2178.14</v>
      </c>
      <c r="J105" s="100">
        <v>2212.5070000000001</v>
      </c>
      <c r="K105" s="101">
        <f>2.7015*10^-5</f>
        <v>2.7015000000000001E-5</v>
      </c>
      <c r="L105" s="102">
        <v>2.53009</v>
      </c>
      <c r="M105" s="102">
        <v>38.9604</v>
      </c>
      <c r="N105" s="102">
        <v>9.0353879999999993</v>
      </c>
      <c r="O105" s="103">
        <f>4.01613*10^-7</f>
        <v>4.0161300000000004E-7</v>
      </c>
      <c r="P105" s="104">
        <v>0</v>
      </c>
      <c r="Q105" s="104">
        <v>0</v>
      </c>
      <c r="R105" s="104">
        <f t="shared" si="28"/>
        <v>0</v>
      </c>
      <c r="S105" s="105">
        <v>0</v>
      </c>
      <c r="T105" s="38">
        <v>2</v>
      </c>
      <c r="U105" s="37"/>
      <c r="V105" s="37"/>
      <c r="W105" s="37"/>
      <c r="X105" s="37"/>
      <c r="Y105" s="37"/>
      <c r="Z105" s="37"/>
    </row>
    <row r="106" spans="1:26" ht="12" customHeight="1">
      <c r="A106" s="37"/>
      <c r="B106" s="37" t="s">
        <v>231</v>
      </c>
      <c r="C106" s="37" t="s">
        <v>241</v>
      </c>
      <c r="D106" s="98">
        <f t="shared" si="19"/>
        <v>282.74448292899876</v>
      </c>
      <c r="E106" s="98">
        <f t="shared" si="20"/>
        <v>3711.1296867780216</v>
      </c>
      <c r="F106" s="98">
        <f t="shared" si="21"/>
        <v>4722.6270567092679</v>
      </c>
      <c r="G106" s="99">
        <f t="shared" si="22"/>
        <v>5.9492271770597887E-5</v>
      </c>
      <c r="H106" s="100">
        <v>281.24847136589847</v>
      </c>
      <c r="I106" s="100">
        <v>3689.3579906267159</v>
      </c>
      <c r="J106" s="100">
        <v>4706.6553756582907</v>
      </c>
      <c r="K106" s="101">
        <v>5.940377239652467E-5</v>
      </c>
      <c r="L106" s="102">
        <v>0.55728863703295906</v>
      </c>
      <c r="M106" s="102">
        <v>8.5815947909295609</v>
      </c>
      <c r="N106" s="102">
        <v>1.9901736089784874</v>
      </c>
      <c r="O106" s="103">
        <v>8.8461068409475892E-8</v>
      </c>
      <c r="P106" s="104">
        <v>0.93872292606730634</v>
      </c>
      <c r="Q106" s="104">
        <v>13.190101360376149</v>
      </c>
      <c r="R106" s="104">
        <f t="shared" si="28"/>
        <v>13.981507441998719</v>
      </c>
      <c r="S106" s="105">
        <v>3.8305663744628749E-11</v>
      </c>
      <c r="T106" s="38">
        <v>2</v>
      </c>
      <c r="U106" s="37"/>
      <c r="V106" s="37"/>
      <c r="W106" s="37"/>
      <c r="X106" s="37"/>
      <c r="Y106" s="37"/>
      <c r="Z106" s="37"/>
    </row>
    <row r="107" spans="1:26" ht="12" customHeight="1">
      <c r="A107" s="37"/>
      <c r="B107" s="37" t="s">
        <v>231</v>
      </c>
      <c r="C107" s="37" t="s">
        <v>242</v>
      </c>
      <c r="D107" s="98">
        <f t="shared" si="19"/>
        <v>20.696899999999999</v>
      </c>
      <c r="E107" s="98">
        <f t="shared" si="20"/>
        <v>267.8270488</v>
      </c>
      <c r="F107" s="98">
        <f t="shared" si="21"/>
        <v>380.91405200000003</v>
      </c>
      <c r="G107" s="99">
        <f t="shared" si="22"/>
        <v>2.6665662755555549E-7</v>
      </c>
      <c r="H107" s="100">
        <f>17.9*1.15</f>
        <v>20.584999999999997</v>
      </c>
      <c r="I107" s="100">
        <f>41.868*5.54*1.15</f>
        <v>266.74102799999997</v>
      </c>
      <c r="J107" s="100">
        <f>1000*0.331*1.15</f>
        <v>380.65</v>
      </c>
      <c r="K107" s="101">
        <f>4/18*10^-6*1.15</f>
        <v>2.5555555555555548E-7</v>
      </c>
      <c r="L107" s="102">
        <v>6.9699999999999998E-2</v>
      </c>
      <c r="M107" s="102">
        <f>41.868*0.0256</f>
        <v>1.0718208</v>
      </c>
      <c r="N107" s="102">
        <f>1000*0.000249</f>
        <v>0.24899999999999997</v>
      </c>
      <c r="O107" s="103">
        <f>1.11*10^-8</f>
        <v>1.1100000000000002E-8</v>
      </c>
      <c r="P107" s="104">
        <v>4.2200000000000001E-2</v>
      </c>
      <c r="Q107" s="104">
        <v>1.4200000000000001E-2</v>
      </c>
      <c r="R107" s="104">
        <f t="shared" si="28"/>
        <v>1.5052000000000001E-2</v>
      </c>
      <c r="S107" s="105">
        <f>1.072*10^-12</f>
        <v>1.0720000000000001E-12</v>
      </c>
      <c r="T107" s="38">
        <v>2</v>
      </c>
      <c r="U107" s="37"/>
      <c r="V107" s="37"/>
      <c r="W107" s="37"/>
      <c r="X107" s="37"/>
      <c r="Y107" s="37"/>
      <c r="Z107" s="37"/>
    </row>
    <row r="108" spans="1:26" ht="12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" customHeight="1">
      <c r="A109" s="37"/>
      <c r="B109" s="118" t="s">
        <v>243</v>
      </c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" customHeight="1">
      <c r="A110" s="37"/>
      <c r="B110" s="118" t="s">
        <v>244</v>
      </c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" customHeight="1">
      <c r="A112" s="37"/>
      <c r="B112" s="97" t="s">
        <v>245</v>
      </c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" customHeight="1">
      <c r="A113" s="37"/>
      <c r="B113" s="37"/>
      <c r="C113" s="119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" customHeight="1">
      <c r="A114" s="37"/>
      <c r="B114" s="31" t="s">
        <v>112</v>
      </c>
      <c r="C114" s="59" t="s">
        <v>246</v>
      </c>
      <c r="D114" s="59" t="s">
        <v>247</v>
      </c>
      <c r="E114" s="59" t="s">
        <v>248</v>
      </c>
      <c r="F114" s="59" t="s">
        <v>249</v>
      </c>
      <c r="G114" s="59" t="s">
        <v>250</v>
      </c>
      <c r="H114" s="59" t="s">
        <v>251</v>
      </c>
      <c r="I114" s="59" t="s">
        <v>252</v>
      </c>
      <c r="J114" s="59" t="s">
        <v>253</v>
      </c>
      <c r="K114" s="59" t="s">
        <v>254</v>
      </c>
      <c r="L114" s="59" t="s">
        <v>255</v>
      </c>
      <c r="M114" s="59" t="s">
        <v>256</v>
      </c>
      <c r="N114" s="59" t="s">
        <v>257</v>
      </c>
      <c r="O114" s="37"/>
      <c r="P114" s="59" t="s">
        <v>32</v>
      </c>
      <c r="Q114" s="59" t="s">
        <v>90</v>
      </c>
      <c r="R114" s="59" t="s">
        <v>258</v>
      </c>
      <c r="S114" s="59" t="s">
        <v>259</v>
      </c>
      <c r="T114" s="37"/>
      <c r="U114" s="37"/>
      <c r="V114" s="37"/>
      <c r="W114" s="37"/>
      <c r="X114" s="37"/>
      <c r="Y114" s="37"/>
      <c r="Z114" s="37"/>
    </row>
    <row r="115" spans="1:26" ht="12" customHeight="1">
      <c r="A115" s="37"/>
      <c r="B115" s="37" t="s">
        <v>122</v>
      </c>
      <c r="C115" s="120">
        <v>0.19900000000000001</v>
      </c>
      <c r="D115" s="121">
        <f>21.1/1731</f>
        <v>1.21894858463316E-2</v>
      </c>
      <c r="E115" s="121">
        <v>0</v>
      </c>
      <c r="F115" s="121">
        <f>18.5/1731</f>
        <v>1.0687463893703062E-2</v>
      </c>
      <c r="G115" s="121">
        <f>830.8/1731</f>
        <v>0.47995378393991911</v>
      </c>
      <c r="H115" s="122">
        <f t="shared" ref="H115:H121" si="29">(D115/0.3+E115/0.3+F115/0.3+G115/0.45)/(SUM(D115:G115))*3.6</f>
        <v>8.1819852941176467</v>
      </c>
      <c r="I115" s="120">
        <f t="shared" ref="I115:I121" si="30">(D115*0.16+E115*1.06+F115*1.06+G115*0.11)*3.6</f>
        <v>0.23786620450606585</v>
      </c>
      <c r="J115" s="123">
        <f t="shared" ref="J115:J121" si="31">C115/0.755*2.13*10^-8</f>
        <v>5.6141721854304635E-9</v>
      </c>
      <c r="K115" s="122">
        <f t="shared" ref="K115:K121" si="32">0.408+0.592*C115/0.676</f>
        <v>0.5822721893491124</v>
      </c>
      <c r="L115" s="124">
        <v>73347945.205479458</v>
      </c>
      <c r="M115" s="122">
        <f t="shared" ref="M115:M121" si="33">(3.33/(3.33+13.99))+(13.99/(3.33+13.99))*H115/(1/0.33*3.6)</f>
        <v>0.79807819327933238</v>
      </c>
      <c r="N115" s="38">
        <v>10</v>
      </c>
      <c r="O115" s="37"/>
      <c r="P115" s="37" t="s">
        <v>260</v>
      </c>
      <c r="Q115" s="37">
        <v>9.2999999999999999E-2</v>
      </c>
      <c r="R115" s="37">
        <v>0.16</v>
      </c>
      <c r="S115" s="37">
        <f>9.02*10^-9/27</f>
        <v>3.340740740740741E-10</v>
      </c>
      <c r="T115" s="37"/>
      <c r="U115" s="37"/>
      <c r="V115" s="37"/>
      <c r="W115" s="37"/>
      <c r="X115" s="37"/>
      <c r="Y115" s="37"/>
      <c r="Z115" s="37"/>
    </row>
    <row r="116" spans="1:26" ht="12" customHeight="1">
      <c r="A116" s="37"/>
      <c r="B116" s="37" t="s">
        <v>123</v>
      </c>
      <c r="C116" s="120">
        <v>0.74</v>
      </c>
      <c r="D116" s="121">
        <f>388.8/602.1</f>
        <v>0.64573991031390132</v>
      </c>
      <c r="E116" s="121">
        <f>6.4/602.1</f>
        <v>1.0629463544261751E-2</v>
      </c>
      <c r="F116" s="121">
        <v>0</v>
      </c>
      <c r="G116" s="121">
        <f>41.6/602.1</f>
        <v>6.9091513037701377E-2</v>
      </c>
      <c r="H116" s="122">
        <f t="shared" si="29"/>
        <v>11.619047619047619</v>
      </c>
      <c r="I116" s="120">
        <f t="shared" si="30"/>
        <v>0.4398684603886398</v>
      </c>
      <c r="J116" s="123">
        <f t="shared" si="31"/>
        <v>2.0876821192052983E-8</v>
      </c>
      <c r="K116" s="122">
        <f t="shared" si="32"/>
        <v>1.0560473372781063</v>
      </c>
      <c r="L116" s="124">
        <v>1026871232.8767101</v>
      </c>
      <c r="M116" s="122">
        <f t="shared" si="33"/>
        <v>1.0525669929249604</v>
      </c>
      <c r="N116" s="38">
        <v>10</v>
      </c>
      <c r="O116" s="37"/>
      <c r="P116" s="37" t="s">
        <v>106</v>
      </c>
      <c r="Q116" s="37">
        <v>5.2600000000000001E-2</v>
      </c>
      <c r="R116" s="37">
        <v>0.11</v>
      </c>
      <c r="S116" s="37">
        <f>3.07*10^-7/37</f>
        <v>8.2972972972972968E-9</v>
      </c>
      <c r="T116" s="37"/>
      <c r="U116" s="37"/>
      <c r="V116" s="37"/>
      <c r="W116" s="37"/>
      <c r="X116" s="37"/>
      <c r="Y116" s="37"/>
      <c r="Z116" s="37"/>
    </row>
    <row r="117" spans="1:26" ht="12" customHeight="1">
      <c r="A117" s="37"/>
      <c r="B117" s="37" t="s">
        <v>261</v>
      </c>
      <c r="C117" s="120">
        <v>0.54200000000000004</v>
      </c>
      <c r="D117" s="121">
        <f>80.4/320.3</f>
        <v>0.25101467374336561</v>
      </c>
      <c r="E117" s="121">
        <v>0</v>
      </c>
      <c r="F117" s="121">
        <v>0</v>
      </c>
      <c r="G117" s="121">
        <f>198.1/320.3</f>
        <v>0.61848267249453637</v>
      </c>
      <c r="H117" s="122">
        <f t="shared" si="29"/>
        <v>9.1547576301615798</v>
      </c>
      <c r="I117" s="120">
        <f t="shared" si="30"/>
        <v>0.389503590384015</v>
      </c>
      <c r="J117" s="123">
        <f t="shared" si="31"/>
        <v>1.5290860927152317E-8</v>
      </c>
      <c r="K117" s="122">
        <f t="shared" si="32"/>
        <v>0.88265088757396448</v>
      </c>
      <c r="L117" s="124">
        <v>110021917.80821918</v>
      </c>
      <c r="M117" s="122">
        <f t="shared" si="33"/>
        <v>0.87010472079751999</v>
      </c>
      <c r="N117" s="38">
        <v>10</v>
      </c>
      <c r="O117" s="37"/>
      <c r="P117" s="37" t="s">
        <v>111</v>
      </c>
      <c r="Q117" s="37">
        <f>0.159/20</f>
        <v>7.9500000000000005E-3</v>
      </c>
      <c r="R117" s="37">
        <f>1.28/20</f>
        <v>6.4000000000000001E-2</v>
      </c>
      <c r="S117" s="37">
        <f>9.26*10^-9/20</f>
        <v>4.63E-10</v>
      </c>
      <c r="T117" s="37"/>
      <c r="U117" s="37"/>
      <c r="V117" s="37"/>
      <c r="W117" s="37"/>
      <c r="X117" s="37"/>
      <c r="Y117" s="37"/>
      <c r="Z117" s="37"/>
    </row>
    <row r="118" spans="1:26" ht="12" customHeight="1">
      <c r="A118" s="37"/>
      <c r="B118" s="37" t="s">
        <v>262</v>
      </c>
      <c r="C118" s="120">
        <v>0.85799999999999998</v>
      </c>
      <c r="D118" s="121">
        <v>0.15</v>
      </c>
      <c r="E118" s="121">
        <v>0.68</v>
      </c>
      <c r="F118" s="121">
        <v>0</v>
      </c>
      <c r="G118" s="121">
        <v>0.16</v>
      </c>
      <c r="H118" s="122">
        <f t="shared" si="29"/>
        <v>11.353535353535355</v>
      </c>
      <c r="I118" s="120">
        <f t="shared" si="30"/>
        <v>2.7446400000000004</v>
      </c>
      <c r="J118" s="123">
        <f t="shared" si="31"/>
        <v>2.4205827814569536E-8</v>
      </c>
      <c r="K118" s="122">
        <f t="shared" si="32"/>
        <v>1.1593846153846152</v>
      </c>
      <c r="L118" s="124">
        <v>271387397.26027399</v>
      </c>
      <c r="M118" s="122">
        <f t="shared" si="33"/>
        <v>1.0329077923188776</v>
      </c>
      <c r="N118" s="38">
        <v>10</v>
      </c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" customHeight="1">
      <c r="A119" s="37"/>
      <c r="B119" s="37" t="s">
        <v>3</v>
      </c>
      <c r="C119" s="120">
        <v>0.53900000000000003</v>
      </c>
      <c r="D119" s="121">
        <f>0.1935+0.2389</f>
        <v>0.43240000000000001</v>
      </c>
      <c r="E119" s="121">
        <f>0.0067</f>
        <v>6.7000000000000002E-3</v>
      </c>
      <c r="F119" s="121">
        <f>0.0011</f>
        <v>1.1000000000000001E-3</v>
      </c>
      <c r="G119" s="121">
        <v>0.1348</v>
      </c>
      <c r="H119" s="122">
        <f t="shared" si="29"/>
        <v>11.06226086956522</v>
      </c>
      <c r="I119" s="120">
        <f t="shared" si="30"/>
        <v>0.332208</v>
      </c>
      <c r="J119" s="123">
        <f t="shared" si="31"/>
        <v>1.5206225165562916E-8</v>
      </c>
      <c r="K119" s="122">
        <f t="shared" si="32"/>
        <v>0.88002366863905324</v>
      </c>
      <c r="L119" s="124">
        <v>198039452.05479452</v>
      </c>
      <c r="M119" s="122">
        <f t="shared" si="33"/>
        <v>1.0113410918097534</v>
      </c>
      <c r="N119" s="38">
        <v>15</v>
      </c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" customHeight="1">
      <c r="A120" s="37"/>
      <c r="B120" s="37" t="s">
        <v>121</v>
      </c>
      <c r="C120" s="120">
        <f>2.15/2.2*D120+1.22/2.2*G120</f>
        <v>0.49495454545454542</v>
      </c>
      <c r="D120" s="121">
        <v>0.41</v>
      </c>
      <c r="E120" s="121">
        <v>0</v>
      </c>
      <c r="F120" s="121">
        <v>0</v>
      </c>
      <c r="G120" s="121">
        <v>0.17</v>
      </c>
      <c r="H120" s="122">
        <f t="shared" si="29"/>
        <v>10.827586206896552</v>
      </c>
      <c r="I120" s="120">
        <f t="shared" si="30"/>
        <v>0.30347999999999997</v>
      </c>
      <c r="J120" s="123">
        <f t="shared" si="31"/>
        <v>1.3963618302227572E-8</v>
      </c>
      <c r="K120" s="122">
        <f t="shared" si="32"/>
        <v>0.84145131791285621</v>
      </c>
      <c r="L120" s="124">
        <v>73347945.205479458</v>
      </c>
      <c r="M120" s="122">
        <f t="shared" si="33"/>
        <v>0.99396518542114609</v>
      </c>
      <c r="N120" s="38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" customHeight="1">
      <c r="A121" s="37"/>
      <c r="B121" s="37" t="s">
        <v>120</v>
      </c>
      <c r="C121" s="120">
        <v>0.36899999999999999</v>
      </c>
      <c r="D121" s="121">
        <v>0.33200000000000002</v>
      </c>
      <c r="E121" s="121">
        <v>0</v>
      </c>
      <c r="F121" s="121">
        <v>0</v>
      </c>
      <c r="G121" s="121">
        <v>0</v>
      </c>
      <c r="H121" s="122">
        <f t="shared" si="29"/>
        <v>12</v>
      </c>
      <c r="I121" s="120">
        <f t="shared" si="30"/>
        <v>0.19123200000000001</v>
      </c>
      <c r="J121" s="123">
        <f t="shared" si="31"/>
        <v>1.0410198675496689E-8</v>
      </c>
      <c r="K121" s="122">
        <f t="shared" si="32"/>
        <v>0.73114792899408276</v>
      </c>
      <c r="L121" s="124">
        <v>1466958904.1095886</v>
      </c>
      <c r="M121" s="122">
        <f t="shared" si="33"/>
        <v>1.0807736720554271</v>
      </c>
      <c r="N121" s="38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" customHeight="1">
      <c r="A122" s="37"/>
      <c r="B122" s="37"/>
      <c r="C122" s="119"/>
      <c r="D122" s="37"/>
      <c r="E122" s="37"/>
      <c r="F122" s="37"/>
      <c r="G122" s="37"/>
      <c r="H122" s="37"/>
      <c r="I122" s="120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" customHeight="1">
      <c r="A123" s="37"/>
      <c r="B123" s="37" t="s">
        <v>263</v>
      </c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" customHeight="1">
      <c r="A124" s="37"/>
      <c r="B124" s="37" t="s">
        <v>264</v>
      </c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" customHeight="1">
      <c r="A125" s="37"/>
      <c r="B125" s="37" t="s">
        <v>265</v>
      </c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" customHeight="1">
      <c r="A126" s="37"/>
      <c r="B126" s="37" t="s">
        <v>266</v>
      </c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" customHeight="1">
      <c r="A127" s="37"/>
      <c r="B127" s="37" t="s">
        <v>267</v>
      </c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 t="s">
        <v>268</v>
      </c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 t="s">
        <v>269</v>
      </c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 t="s">
        <v>270</v>
      </c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 t="s">
        <v>271</v>
      </c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 t="s">
        <v>272</v>
      </c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125" t="s">
        <v>273</v>
      </c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 t="s">
        <v>274</v>
      </c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 t="s">
        <v>275</v>
      </c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 t="s">
        <v>276</v>
      </c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2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2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2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2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2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2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2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2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2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2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2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2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2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2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2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2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2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2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2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2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2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2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2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2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2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2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2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2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2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2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2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2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2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2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2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2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2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2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2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2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2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2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2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2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2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2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2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2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2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2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2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2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2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2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2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2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2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2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2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2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2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2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2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2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2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2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2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2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2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2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2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2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2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2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2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2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2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2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2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2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2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2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2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2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2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2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2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2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2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2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2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2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2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2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2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2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2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2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2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2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2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2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2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2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2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2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2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2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2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2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2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2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2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2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2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2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2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2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2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2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2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2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2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2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2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2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2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2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2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2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2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2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2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2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2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2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2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2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2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2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2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2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2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2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2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2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2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2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2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2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2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2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2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2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2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2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2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2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2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2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2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2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2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2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2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2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2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2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2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2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2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2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2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2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2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2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2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2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2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2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2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2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2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2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2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2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2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2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2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2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2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2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2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2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2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2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2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2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2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2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2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2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2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2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2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2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2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2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2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2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2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2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2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2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2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2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2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2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2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2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2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2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2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2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2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2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2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2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2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2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2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2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2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2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2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2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2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2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2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2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2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2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2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2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2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2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2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2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2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2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2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2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2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2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2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2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2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2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2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2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2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2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2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2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2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2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2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2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2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2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2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2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2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2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2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2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2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2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2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2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2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2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2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2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2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2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2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2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2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2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2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2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2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2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2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2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2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2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2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2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2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2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2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2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2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2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2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2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2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2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2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2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2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2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2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2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2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2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2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2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2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2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2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2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2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2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2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2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2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2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2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2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2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2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2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2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2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2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2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2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2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2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2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2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2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2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2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2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2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2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2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2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2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2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2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2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2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2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2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2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2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2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2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2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2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2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2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2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2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2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2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2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2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2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2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2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2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2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2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2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2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2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2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2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2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2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2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2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2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2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2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2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2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2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2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2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2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2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2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2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2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2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2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2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2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2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2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2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2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2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2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2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2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2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2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2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2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2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2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2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2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2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2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2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2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2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2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2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2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2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2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2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2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2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2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2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2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2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2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2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2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2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2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2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2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2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2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2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2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2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2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2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2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2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2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2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2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2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2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2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2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2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2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2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2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2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2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2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2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2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2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2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2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2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2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2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2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2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2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2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2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2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2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2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2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2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2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2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2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2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2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2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2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2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2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2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2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2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2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2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2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2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2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2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2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2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2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2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2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2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2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2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2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2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2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2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2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2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2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2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2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2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2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2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2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2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2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2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2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2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2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2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2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2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2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2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2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2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2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2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2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2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2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2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2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2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2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2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2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2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2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2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2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2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2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2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2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2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2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2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2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2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2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2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2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2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2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2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2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2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2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2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2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2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2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2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2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2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2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2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2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2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2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2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2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2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2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2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2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2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2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2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2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2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2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2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2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2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2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2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2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2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2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2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2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2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2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2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2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2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2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2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2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2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2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2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2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2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2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2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2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2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2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2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2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2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2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2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2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2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2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2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2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2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2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2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2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2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2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2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2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2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2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2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2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2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2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2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2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2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2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2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2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2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2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2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2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2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2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2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2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2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2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2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2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2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2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2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2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2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2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2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2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2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2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2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2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2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2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2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2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2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2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2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2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2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2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2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2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2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2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2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2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2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2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2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2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2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2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2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2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2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2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2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2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2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2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2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2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2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2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2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2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2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2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2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2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2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2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2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2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2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2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2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2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2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2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2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2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2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2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2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2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2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2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2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2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2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2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2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2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2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2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2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2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2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2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2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2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2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4">
    <mergeCell ref="D6:G6"/>
    <mergeCell ref="H6:K6"/>
    <mergeCell ref="L6:O6"/>
    <mergeCell ref="P6:S6"/>
  </mergeCells>
  <hyperlinks>
    <hyperlink ref="K133" r:id="rId1" xr:uid="{00000000-0004-0000-0400-000000000000}"/>
  </hyperlink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K1000"/>
  <sheetViews>
    <sheetView workbookViewId="0">
      <selection activeCell="A13" sqref="A13"/>
    </sheetView>
  </sheetViews>
  <sheetFormatPr defaultColWidth="14.453125" defaultRowHeight="15" customHeight="1"/>
  <cols>
    <col min="1" max="1" width="5.54296875" customWidth="1"/>
    <col min="2" max="2" width="6.81640625" customWidth="1"/>
    <col min="3" max="3" width="6" customWidth="1"/>
    <col min="4" max="4" width="7.08984375" customWidth="1"/>
    <col min="5" max="5" width="6.54296875" customWidth="1"/>
    <col min="6" max="6" width="6.81640625" customWidth="1"/>
    <col min="7" max="8" width="7.7265625" customWidth="1"/>
    <col min="9" max="9" width="6.453125" customWidth="1"/>
    <col min="10" max="10" width="8.08984375" customWidth="1"/>
    <col min="11" max="12" width="8.54296875" customWidth="1"/>
    <col min="13" max="13" width="6.26953125" customWidth="1"/>
    <col min="14" max="15" width="5.7265625" customWidth="1"/>
    <col min="16" max="16" width="10.81640625" customWidth="1"/>
    <col min="17" max="17" width="20" customWidth="1"/>
    <col min="18" max="34" width="10.81640625" customWidth="1"/>
    <col min="35" max="35" width="31.26953125" customWidth="1"/>
    <col min="36" max="37" width="10.81640625" customWidth="1"/>
    <col min="38" max="88" width="8.7265625" customWidth="1"/>
    <col min="89" max="89" width="10.81640625" customWidth="1"/>
  </cols>
  <sheetData>
    <row r="1" spans="1:89" ht="9.75" customHeight="1">
      <c r="A1" s="126" t="s">
        <v>25</v>
      </c>
      <c r="B1" s="126" t="s">
        <v>277</v>
      </c>
      <c r="C1" s="126" t="s">
        <v>278</v>
      </c>
      <c r="D1" s="126" t="s">
        <v>279</v>
      </c>
      <c r="E1" s="126" t="s">
        <v>280</v>
      </c>
      <c r="F1" s="126" t="s">
        <v>281</v>
      </c>
      <c r="G1" s="126" t="s">
        <v>282</v>
      </c>
      <c r="H1" s="126" t="s">
        <v>283</v>
      </c>
      <c r="I1" s="126" t="s">
        <v>284</v>
      </c>
      <c r="J1" s="126" t="s">
        <v>285</v>
      </c>
      <c r="K1" s="126" t="s">
        <v>286</v>
      </c>
      <c r="L1" s="126" t="s">
        <v>287</v>
      </c>
      <c r="M1" s="126" t="s">
        <v>23</v>
      </c>
      <c r="N1" s="126" t="s">
        <v>122</v>
      </c>
      <c r="O1" s="126"/>
      <c r="P1" s="126"/>
      <c r="Q1" s="126" t="s">
        <v>288</v>
      </c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7" t="s">
        <v>289</v>
      </c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</row>
    <row r="2" spans="1:89" ht="9.75" customHeight="1">
      <c r="A2" s="126" t="s">
        <v>129</v>
      </c>
      <c r="B2" s="126" t="s">
        <v>130</v>
      </c>
      <c r="C2" s="126" t="s">
        <v>141</v>
      </c>
      <c r="D2" s="126" t="s">
        <v>148</v>
      </c>
      <c r="E2" s="126" t="s">
        <v>160</v>
      </c>
      <c r="F2" s="126" t="s">
        <v>174</v>
      </c>
      <c r="G2" s="126" t="s">
        <v>182</v>
      </c>
      <c r="H2" s="126" t="s">
        <v>189</v>
      </c>
      <c r="I2" s="126" t="s">
        <v>194</v>
      </c>
      <c r="J2" s="126" t="s">
        <v>200</v>
      </c>
      <c r="K2" s="126" t="s">
        <v>242</v>
      </c>
      <c r="L2" s="126" t="s">
        <v>225</v>
      </c>
      <c r="M2" s="126"/>
      <c r="N2" s="126" t="s">
        <v>123</v>
      </c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</row>
    <row r="3" spans="1:89" ht="9.75" customHeight="1">
      <c r="A3" s="126" t="s">
        <v>140</v>
      </c>
      <c r="B3" s="126" t="s">
        <v>132</v>
      </c>
      <c r="C3" s="126" t="s">
        <v>143</v>
      </c>
      <c r="D3" s="126" t="s">
        <v>149</v>
      </c>
      <c r="E3" s="126" t="s">
        <v>161</v>
      </c>
      <c r="F3" s="126" t="s">
        <v>175</v>
      </c>
      <c r="G3" s="126" t="s">
        <v>184</v>
      </c>
      <c r="H3" s="126" t="s">
        <v>190</v>
      </c>
      <c r="I3" s="126" t="s">
        <v>195</v>
      </c>
      <c r="J3" s="126" t="s">
        <v>201</v>
      </c>
      <c r="K3" s="126" t="s">
        <v>235</v>
      </c>
      <c r="L3" s="126" t="s">
        <v>224</v>
      </c>
      <c r="M3" s="126"/>
      <c r="N3" s="126" t="s">
        <v>261</v>
      </c>
      <c r="O3" s="126"/>
      <c r="P3" s="128" t="s">
        <v>16</v>
      </c>
      <c r="Q3" s="128" t="s">
        <v>290</v>
      </c>
      <c r="R3" s="128" t="s">
        <v>18</v>
      </c>
      <c r="S3" s="128" t="s">
        <v>291</v>
      </c>
      <c r="T3" s="128" t="s">
        <v>292</v>
      </c>
      <c r="U3" s="128" t="s">
        <v>293</v>
      </c>
      <c r="V3" s="128" t="s">
        <v>294</v>
      </c>
      <c r="W3" s="128" t="s">
        <v>295</v>
      </c>
      <c r="X3" s="128" t="s">
        <v>296</v>
      </c>
      <c r="Y3" s="128" t="s">
        <v>297</v>
      </c>
      <c r="Z3" s="128" t="s">
        <v>298</v>
      </c>
      <c r="AA3" s="128" t="s">
        <v>299</v>
      </c>
      <c r="AB3" s="128" t="s">
        <v>300</v>
      </c>
      <c r="AC3" s="128" t="s">
        <v>301</v>
      </c>
      <c r="AD3" s="128" t="s">
        <v>302</v>
      </c>
      <c r="AE3" s="128" t="s">
        <v>303</v>
      </c>
      <c r="AF3" s="128" t="s">
        <v>304</v>
      </c>
      <c r="AG3" s="128" t="s">
        <v>305</v>
      </c>
      <c r="AH3" s="128" t="s">
        <v>306</v>
      </c>
      <c r="AI3" s="128" t="s">
        <v>307</v>
      </c>
      <c r="AJ3" s="126"/>
      <c r="AK3" s="126" t="s">
        <v>308</v>
      </c>
      <c r="AL3" s="126">
        <v>0</v>
      </c>
      <c r="AM3" s="126">
        <f t="shared" ref="AM3:CJ3" si="0">AL3+1</f>
        <v>1</v>
      </c>
      <c r="AN3" s="126">
        <f t="shared" si="0"/>
        <v>2</v>
      </c>
      <c r="AO3" s="126">
        <f t="shared" si="0"/>
        <v>3</v>
      </c>
      <c r="AP3" s="126">
        <f t="shared" si="0"/>
        <v>4</v>
      </c>
      <c r="AQ3" s="126">
        <f t="shared" si="0"/>
        <v>5</v>
      </c>
      <c r="AR3" s="126">
        <f t="shared" si="0"/>
        <v>6</v>
      </c>
      <c r="AS3" s="126">
        <f t="shared" si="0"/>
        <v>7</v>
      </c>
      <c r="AT3" s="126">
        <f t="shared" si="0"/>
        <v>8</v>
      </c>
      <c r="AU3" s="126">
        <f t="shared" si="0"/>
        <v>9</v>
      </c>
      <c r="AV3" s="126">
        <f t="shared" si="0"/>
        <v>10</v>
      </c>
      <c r="AW3" s="126">
        <f t="shared" si="0"/>
        <v>11</v>
      </c>
      <c r="AX3" s="126">
        <f t="shared" si="0"/>
        <v>12</v>
      </c>
      <c r="AY3" s="126">
        <f t="shared" si="0"/>
        <v>13</v>
      </c>
      <c r="AZ3" s="126">
        <f t="shared" si="0"/>
        <v>14</v>
      </c>
      <c r="BA3" s="126">
        <f t="shared" si="0"/>
        <v>15</v>
      </c>
      <c r="BB3" s="126">
        <f t="shared" si="0"/>
        <v>16</v>
      </c>
      <c r="BC3" s="126">
        <f t="shared" si="0"/>
        <v>17</v>
      </c>
      <c r="BD3" s="126">
        <f t="shared" si="0"/>
        <v>18</v>
      </c>
      <c r="BE3" s="126">
        <f t="shared" si="0"/>
        <v>19</v>
      </c>
      <c r="BF3" s="126">
        <f t="shared" si="0"/>
        <v>20</v>
      </c>
      <c r="BG3" s="126">
        <f t="shared" si="0"/>
        <v>21</v>
      </c>
      <c r="BH3" s="126">
        <f t="shared" si="0"/>
        <v>22</v>
      </c>
      <c r="BI3" s="126">
        <f t="shared" si="0"/>
        <v>23</v>
      </c>
      <c r="BJ3" s="126">
        <f t="shared" si="0"/>
        <v>24</v>
      </c>
      <c r="BK3" s="126">
        <f t="shared" si="0"/>
        <v>25</v>
      </c>
      <c r="BL3" s="126">
        <f t="shared" si="0"/>
        <v>26</v>
      </c>
      <c r="BM3" s="126">
        <f t="shared" si="0"/>
        <v>27</v>
      </c>
      <c r="BN3" s="126">
        <f t="shared" si="0"/>
        <v>28</v>
      </c>
      <c r="BO3" s="126">
        <f t="shared" si="0"/>
        <v>29</v>
      </c>
      <c r="BP3" s="126">
        <f t="shared" si="0"/>
        <v>30</v>
      </c>
      <c r="BQ3" s="126">
        <f t="shared" si="0"/>
        <v>31</v>
      </c>
      <c r="BR3" s="126">
        <f t="shared" si="0"/>
        <v>32</v>
      </c>
      <c r="BS3" s="126">
        <f t="shared" si="0"/>
        <v>33</v>
      </c>
      <c r="BT3" s="126">
        <f t="shared" si="0"/>
        <v>34</v>
      </c>
      <c r="BU3" s="126">
        <f t="shared" si="0"/>
        <v>35</v>
      </c>
      <c r="BV3" s="126">
        <f t="shared" si="0"/>
        <v>36</v>
      </c>
      <c r="BW3" s="126">
        <f t="shared" si="0"/>
        <v>37</v>
      </c>
      <c r="BX3" s="126">
        <f t="shared" si="0"/>
        <v>38</v>
      </c>
      <c r="BY3" s="126">
        <f t="shared" si="0"/>
        <v>39</v>
      </c>
      <c r="BZ3" s="126">
        <f t="shared" si="0"/>
        <v>40</v>
      </c>
      <c r="CA3" s="126">
        <f t="shared" si="0"/>
        <v>41</v>
      </c>
      <c r="CB3" s="126">
        <f t="shared" si="0"/>
        <v>42</v>
      </c>
      <c r="CC3" s="126">
        <f t="shared" si="0"/>
        <v>43</v>
      </c>
      <c r="CD3" s="126">
        <f t="shared" si="0"/>
        <v>44</v>
      </c>
      <c r="CE3" s="126">
        <f t="shared" si="0"/>
        <v>45</v>
      </c>
      <c r="CF3" s="126">
        <f t="shared" si="0"/>
        <v>46</v>
      </c>
      <c r="CG3" s="126">
        <f t="shared" si="0"/>
        <v>47</v>
      </c>
      <c r="CH3" s="126">
        <f t="shared" si="0"/>
        <v>48</v>
      </c>
      <c r="CI3" s="126">
        <f t="shared" si="0"/>
        <v>49</v>
      </c>
      <c r="CJ3" s="126">
        <f t="shared" si="0"/>
        <v>50</v>
      </c>
      <c r="CK3" s="126"/>
    </row>
    <row r="4" spans="1:89" ht="9.75" customHeight="1">
      <c r="A4" s="126" t="s">
        <v>147</v>
      </c>
      <c r="B4" s="126" t="s">
        <v>134</v>
      </c>
      <c r="C4" s="126" t="s">
        <v>145</v>
      </c>
      <c r="D4" s="126" t="s">
        <v>150</v>
      </c>
      <c r="E4" s="126" t="s">
        <v>162</v>
      </c>
      <c r="F4" s="126" t="s">
        <v>176</v>
      </c>
      <c r="G4" s="126" t="s">
        <v>185</v>
      </c>
      <c r="H4" s="126" t="s">
        <v>191</v>
      </c>
      <c r="I4" s="126" t="s">
        <v>196</v>
      </c>
      <c r="J4" s="126" t="s">
        <v>202</v>
      </c>
      <c r="K4" s="126" t="s">
        <v>239</v>
      </c>
      <c r="L4" s="126" t="s">
        <v>227</v>
      </c>
      <c r="M4" s="126"/>
      <c r="N4" s="126" t="s">
        <v>262</v>
      </c>
      <c r="O4" s="126"/>
      <c r="P4" s="126" t="str">
        <f>'Construction and Materials'!B18</f>
        <v>Window</v>
      </c>
      <c r="Q4" s="126" t="str">
        <f>'Construction and Materials'!C18</f>
        <v>Single Pane Aluminum Frame (sf)</v>
      </c>
      <c r="R4" s="129">
        <f>'Construction and Materials'!D18</f>
        <v>5400</v>
      </c>
      <c r="S4" s="130">
        <f>IF(NOT(Q4="Pick Type"),VLOOKUP(Q4,'LCA Data'!$C$8:$S$107,6,FALSE)*Lists!R4,0)</f>
        <v>28164.334896998207</v>
      </c>
      <c r="T4" s="131">
        <f>IF(NOT(Q4="Pick Type"),VLOOKUP(Q4,'LCA Data'!$C$8:$S$107,10,FALSE)*Lists!R4,0)</f>
        <v>90.28075910220474</v>
      </c>
      <c r="U4" s="132">
        <f>IF(NOT(Q4="Pick Type"),VLOOKUP(Q4,'LCA Data'!$C$8:$S$107,14,FALSE)*Lists!R4,0)</f>
        <v>0</v>
      </c>
      <c r="V4" s="133">
        <f t="shared" ref="V4:V44" si="1">SUM(S4:U4)</f>
        <v>28254.615656100414</v>
      </c>
      <c r="W4" s="130">
        <f>IF(NOT(Q4="Pick Type"),VLOOKUP(Q4,'LCA Data'!$C$8:$S$107,7,FALSE)*Lists!R4,0)</f>
        <v>337760.11252311891</v>
      </c>
      <c r="X4" s="131">
        <f>IF(NOT(Q4="Pick Type"),VLOOKUP(Q4,'LCA Data'!$C$8:$S$107,11,FALSE)*Lists!R4,0)</f>
        <v>1390.2183549034598</v>
      </c>
      <c r="Y4" s="132">
        <f>IF(NOT(Q4="Pick Type"),VLOOKUP(Q4,'LCA Data'!$C$8:$S$107,15,FALSE)*Lists!R4,0)</f>
        <v>0</v>
      </c>
      <c r="Z4" s="133">
        <f t="shared" ref="Z4:Z44" si="2">SUM(W4:Y4)</f>
        <v>339150.33087802236</v>
      </c>
      <c r="AA4" s="130">
        <f>IF(NOT(Q4="Pick Type"),VLOOKUP(Q4,'LCA Data'!$C$8:$S$107,8,FALSE)*Lists!R4,0)</f>
        <v>162502.36639654584</v>
      </c>
      <c r="AB4" s="131">
        <f>IF(NOT(Q4="Pick Type"),VLOOKUP(Q4,'LCA Data'!$C$8:$S$107,12,FALSE)*Lists!R4,0)</f>
        <v>322.40812443907322</v>
      </c>
      <c r="AC4" s="132">
        <f>IF(NOT(Q4="Pick Type"),VLOOKUP(Q4,'LCA Data'!$C$8:$S$107,16,FALSE)*Lists!R4,0)</f>
        <v>0</v>
      </c>
      <c r="AD4" s="133">
        <f t="shared" ref="AD4:AD44" si="3">SUM(AA4:AC4)</f>
        <v>162824.77452098491</v>
      </c>
      <c r="AE4" s="134">
        <f>IF(NOT(Q4="Pick Type"),VLOOKUP(Q4,'LCA Data'!$C$8:$S$107,9,FALSE)*Lists!R4,0)</f>
        <v>2.2316393784239667E-3</v>
      </c>
      <c r="AF4" s="135">
        <f>IF(NOT(Q4="Pick Type"),VLOOKUP(Q4,'LCA Data'!$C$8:$S$107,13,FALSE)*Lists!R4,0)</f>
        <v>1.4330693072246221E-5</v>
      </c>
      <c r="AG4" s="136">
        <f>IF(NOT(Q4="Pick Type"),VLOOKUP(Q4,'LCA Data'!$C$8:$S$107,17,FALSE)*Lists!R4,0)</f>
        <v>0</v>
      </c>
      <c r="AH4" s="137">
        <f t="shared" ref="AH4:AH44" si="4">SUM(AE4:AG4)</f>
        <v>2.2459700714962129E-3</v>
      </c>
      <c r="AI4" s="126" t="str">
        <f t="shared" ref="AI4:AI44" si="5">IF(R4=0,NA(),Q4)</f>
        <v>Single Pane Aluminum Frame (sf)</v>
      </c>
      <c r="AJ4" s="126"/>
      <c r="AK4" s="126" t="s">
        <v>309</v>
      </c>
      <c r="AL4" s="129">
        <f t="shared" ref="AL4:AL44" si="6">V4</f>
        <v>28254.615656100414</v>
      </c>
      <c r="AM4" s="126">
        <f t="shared" ref="AM4:AM44" si="7">IF(Q4=$J$14,V4,0)</f>
        <v>0</v>
      </c>
      <c r="AN4" s="126">
        <f t="shared" ref="AN4:AN44" si="8">IF(Q4=$J$14,V4,0)</f>
        <v>0</v>
      </c>
      <c r="AO4" s="126">
        <f t="shared" ref="AO4:AO44" si="9">IF(Q4=$J$14,V4,0)</f>
        <v>0</v>
      </c>
      <c r="AP4" s="126">
        <f t="shared" ref="AP4:AP44" si="10">IF(Q4=$J$14,V4,0)</f>
        <v>0</v>
      </c>
      <c r="AQ4" s="126">
        <f t="shared" ref="AQ4:AQ44" si="11">IF(Q4=$J$14,V4,0)</f>
        <v>0</v>
      </c>
      <c r="AR4" s="126">
        <f t="shared" ref="AR4:AR44" si="12">IF(Q4=$J$14,V4,0)</f>
        <v>0</v>
      </c>
      <c r="AS4" s="126">
        <f t="shared" ref="AS4:AS44" si="13">IF(Q4=$J$14,V4,0)</f>
        <v>0</v>
      </c>
      <c r="AT4" s="126">
        <f t="shared" ref="AT4:AT44" si="14">IF(Q4=$J$14,V4,0)</f>
        <v>0</v>
      </c>
      <c r="AU4" s="126">
        <f t="shared" ref="AU4:AU44" si="15">IF(Q4=$J$14,V4,0)</f>
        <v>0</v>
      </c>
      <c r="AV4" s="126">
        <f t="shared" ref="AV4:AV44" si="16">IF(Q4=$J$14,V4,0)</f>
        <v>0</v>
      </c>
      <c r="AW4" s="126">
        <f t="shared" ref="AW4:AW44" si="17">IF(Q4=$J$14,V4,0)</f>
        <v>0</v>
      </c>
      <c r="AX4" s="126">
        <f t="shared" ref="AX4:AX44" si="18">IF(Q4=$J$14,V4,0)</f>
        <v>0</v>
      </c>
      <c r="AY4" s="126">
        <f t="shared" ref="AY4:AY44" si="19">IF(Q4=$J$14,V4,0)</f>
        <v>0</v>
      </c>
      <c r="AZ4" s="126">
        <f t="shared" ref="AZ4:AZ44" si="20">IF(Q4=$J$14,V4,0)</f>
        <v>0</v>
      </c>
      <c r="BA4" s="126">
        <f t="shared" ref="BA4:BA44" si="21">IF(Q4=$J$14,V4,0)</f>
        <v>0</v>
      </c>
      <c r="BB4" s="126">
        <f t="shared" ref="BB4:BB44" si="22">IF(Q4=$J$14,V4,0)</f>
        <v>0</v>
      </c>
      <c r="BC4" s="126">
        <f t="shared" ref="BC4:BC44" si="23">IF(Q4=$J$14,V4,0)</f>
        <v>0</v>
      </c>
      <c r="BD4" s="126">
        <f t="shared" ref="BD4:BD44" si="24">IF(Q4=$J$14,V4,0)</f>
        <v>0</v>
      </c>
      <c r="BE4" s="126">
        <f t="shared" ref="BE4:BE44" si="25">IF(Q4=$J$14,V4,0)</f>
        <v>0</v>
      </c>
      <c r="BF4" s="126">
        <f t="shared" ref="BF4:BF44" si="26">IF(Q4=$J$14,V4,IF(Q4=$F$2,V4,0))</f>
        <v>0</v>
      </c>
      <c r="BG4" s="126">
        <f t="shared" ref="BG4:BG44" si="27">IF(Q4=$J$14,V4,IF(Q4=$J$18,V4,0))</f>
        <v>0</v>
      </c>
      <c r="BH4" s="126">
        <f t="shared" ref="BH4:BH44" si="28">IF(Q4=$J$14,V4,0)</f>
        <v>0</v>
      </c>
      <c r="BI4" s="126">
        <f t="shared" ref="BI4:BI44" si="29">IF(Q4=$J$14,V4,0)</f>
        <v>0</v>
      </c>
      <c r="BJ4" s="126">
        <f t="shared" ref="BJ4:BJ44" si="30">IF(Q4=$J$14,V4,IF(Q4=$J$17,V4,IF(Q4=$F$8,V4,0)))</f>
        <v>0</v>
      </c>
      <c r="BK4" s="126">
        <f t="shared" ref="BK4:BK44" si="31">IF(Q4=$J$7,V4,IF(Q4=$J$8,V4,IF(Q4=$J$9,V4,IF(Q4=$J$14,V4,IF(Q4=$J$10,V4,IF(Q4=$J$11,V4,IF(Q4=$J$12,V4,IF(Q4=$J$13,V4,IF(Q4=$K$5,V4,IF(Q4=$K$7,V4,IF(Q4=$K$3,V4,IF(Q4=$K$9,V4,IF(Q4=$K$10,V4,IF(Q4=$L$6,V4,IF(Q4=$E$10,V4,0)))))))))))))))</f>
        <v>0</v>
      </c>
      <c r="BL4" s="126">
        <f t="shared" ref="BL4:BL44" si="32">IF(Q4=$J$14,V4,IF(Q4=$L$8,V4,0))</f>
        <v>0</v>
      </c>
      <c r="BM4" s="126">
        <f t="shared" ref="BM4:BM44" si="33">IF(Q4=$J$14,V4,0)</f>
        <v>0</v>
      </c>
      <c r="BN4" s="126">
        <f t="shared" ref="BN4:BN44" si="34">IF(Q4=$J$14,V4,0)</f>
        <v>0</v>
      </c>
      <c r="BO4" s="126">
        <f t="shared" ref="BO4:BO44" si="35">IF(Q4=$J$14,V4,0)</f>
        <v>0</v>
      </c>
      <c r="BP4" s="126">
        <f t="shared" ref="BP4:BP44" si="36">IF(Q4=$K$2,V4,IF(Q4=$K$19,V4,IF(Q4=$J$14,V4,IF(Q4=$K$6,V4,0))))</f>
        <v>0</v>
      </c>
      <c r="BQ4" s="126">
        <f t="shared" ref="BQ4:BQ44" si="37">IF(Q4=$J$14,V4,0)</f>
        <v>0</v>
      </c>
      <c r="BR4" s="126">
        <f t="shared" ref="BR4:BR44" si="38">IF(Q4=$J$14,V4,0)</f>
        <v>0</v>
      </c>
      <c r="BS4" s="126">
        <f t="shared" ref="BS4:BS44" si="39">IF(Q4=$J$14,V4,0)</f>
        <v>0</v>
      </c>
      <c r="BT4" s="126">
        <f t="shared" ref="BT4:BT44" si="40">IF(Q4=$J$14,V4,0)</f>
        <v>0</v>
      </c>
      <c r="BU4" s="126">
        <f t="shared" ref="BU4:BU44" si="41">IF(Q4=$J$14,V4,IF(Q4=$K$4,V4,0))</f>
        <v>0</v>
      </c>
      <c r="BV4" s="126">
        <f t="shared" ref="BV4:BV44" si="42">IF(Q4=$J$14,V4,0)</f>
        <v>0</v>
      </c>
      <c r="BW4" s="126">
        <f t="shared" ref="BW4:BW44" si="43">IF(Q4=$J$14,V4,0)</f>
        <v>0</v>
      </c>
      <c r="BX4" s="126">
        <f t="shared" ref="BX4:BX44" si="44">IF(Q4=$J$14,V4,0)</f>
        <v>0</v>
      </c>
      <c r="BY4" s="126">
        <f t="shared" ref="BY4:BY44" si="45">IF(Q4=$J$14,V4,0)</f>
        <v>0</v>
      </c>
      <c r="BZ4" s="126">
        <f t="shared" ref="BZ4:BZ44" si="46">IF(P4="Window",V4,IF(Q4=$J$14,V4,IF(Q4=$F$2,V4,0)))</f>
        <v>28254.615656100414</v>
      </c>
      <c r="CA4" s="126">
        <f t="shared" ref="CA4:CA44" si="47">IF(Q4=$J$14,V4,IF(Q4=$J$18,V4,0))</f>
        <v>0</v>
      </c>
      <c r="CB4" s="126">
        <f t="shared" ref="CB4:CB44" si="48">IF(Q4=$J$14,V4,0)</f>
        <v>0</v>
      </c>
      <c r="CC4" s="126">
        <f t="shared" ref="CC4:CC44" si="49">IF(Q4=$J$14,V4,0)</f>
        <v>0</v>
      </c>
      <c r="CD4" s="126">
        <f t="shared" ref="CD4:CD44" si="50">IF(Q4=$J$14,V4,0)</f>
        <v>0</v>
      </c>
      <c r="CE4" s="126">
        <f t="shared" ref="CE4:CE44" si="51">IF(Q4=$J$14,V4,0)</f>
        <v>0</v>
      </c>
      <c r="CF4" s="126">
        <f t="shared" ref="CF4:CF44" si="52">IF(Q4=$J$14,V4,0)</f>
        <v>0</v>
      </c>
      <c r="CG4" s="126">
        <f t="shared" ref="CG4:CG44" si="53">IF(Q4=$J$14,V4,0)</f>
        <v>0</v>
      </c>
      <c r="CH4" s="126">
        <f t="shared" ref="CH4:CH44" si="54">IF(Q4=$J$14,V4,0)</f>
        <v>0</v>
      </c>
      <c r="CI4" s="126">
        <f t="shared" ref="CI4:CI44" si="55">IF(Q4=$J$14,V4,0)</f>
        <v>0</v>
      </c>
      <c r="CJ4" s="126">
        <f t="shared" ref="CJ4:CJ44" si="56">IF(Q4=$J$14,V4,0)</f>
        <v>0</v>
      </c>
      <c r="CK4" s="126"/>
    </row>
    <row r="5" spans="1:89" ht="9.75" customHeight="1">
      <c r="A5" s="126" t="s">
        <v>159</v>
      </c>
      <c r="B5" s="126" t="s">
        <v>136</v>
      </c>
      <c r="C5" s="126" t="s">
        <v>146</v>
      </c>
      <c r="D5" s="126" t="s">
        <v>153</v>
      </c>
      <c r="E5" s="126" t="s">
        <v>163</v>
      </c>
      <c r="F5" s="126" t="s">
        <v>178</v>
      </c>
      <c r="G5" s="126" t="s">
        <v>183</v>
      </c>
      <c r="H5" s="126" t="s">
        <v>192</v>
      </c>
      <c r="I5" s="126" t="s">
        <v>197</v>
      </c>
      <c r="J5" s="126" t="s">
        <v>203</v>
      </c>
      <c r="K5" s="126" t="s">
        <v>238</v>
      </c>
      <c r="L5" s="126" t="s">
        <v>228</v>
      </c>
      <c r="M5" s="126"/>
      <c r="N5" s="126" t="s">
        <v>3</v>
      </c>
      <c r="O5" s="126"/>
      <c r="P5" s="126" t="str">
        <f>'Construction and Materials'!B19</f>
        <v>Interior Wall</v>
      </c>
      <c r="Q5" s="126" t="str">
        <f>'Construction and Materials'!C19</f>
        <v>Curtain Wall (sf)</v>
      </c>
      <c r="R5" s="129">
        <f>'Construction and Materials'!D19</f>
        <v>10400</v>
      </c>
      <c r="S5" s="130">
        <f>IF(NOT(Q5="Pick Type"),VLOOKUP(Q5,'LCA Data'!$C$8:$S$107,6,FALSE)*Lists!R5,0)</f>
        <v>24648</v>
      </c>
      <c r="T5" s="131">
        <f>IF(NOT(Q5="Pick Type"),VLOOKUP(Q5,'LCA Data'!$C$8:$S$107,10,FALSE)*Lists!R5,0)</f>
        <v>550.16000000000008</v>
      </c>
      <c r="U5" s="132">
        <f>IF(NOT(Q5="Pick Type"),VLOOKUP(Q5,'LCA Data'!$C$8:$S$107,14,FALSE)*Lists!R5,0)</f>
        <v>118929.512</v>
      </c>
      <c r="V5" s="133">
        <f t="shared" si="1"/>
        <v>144127.67199999999</v>
      </c>
      <c r="W5" s="130">
        <f>IF(NOT(Q5="Pick Type"),VLOOKUP(Q5,'LCA Data'!$C$8:$S$107,7,FALSE)*Lists!R5,0)</f>
        <v>290429.94240000006</v>
      </c>
      <c r="X5" s="131">
        <f>IF(NOT(Q5="Pick Type"),VLOOKUP(Q5,'LCA Data'!$C$8:$S$107,11,FALSE)*Lists!R5,0)</f>
        <v>8490.8304000000007</v>
      </c>
      <c r="Y5" s="132">
        <f>IF(NOT(Q5="Pick Type"),VLOOKUP(Q5,'LCA Data'!$C$8:$S$107,15,FALSE)*Lists!R5,0)</f>
        <v>1671092.0875584001</v>
      </c>
      <c r="Z5" s="133">
        <f t="shared" si="2"/>
        <v>1970012.8603584003</v>
      </c>
      <c r="AA5" s="130">
        <f>IF(NOT(Q5="Pick Type"),VLOOKUP(Q5,'LCA Data'!$C$8:$S$107,8,FALSE)*Lists!R5,0)</f>
        <v>223600</v>
      </c>
      <c r="AB5" s="131">
        <f>IF(NOT(Q5="Pick Type"),VLOOKUP(Q5,'LCA Data'!$C$8:$S$107,12,FALSE)*Lists!R5,0)</f>
        <v>1965.6</v>
      </c>
      <c r="AC5" s="132">
        <f>IF(NOT(Q5="Pick Type"),VLOOKUP(Q5,'LCA Data'!$C$8:$S$107,16,FALSE)*Lists!R5,0)</f>
        <v>1771357.6128119042</v>
      </c>
      <c r="AD5" s="133">
        <f t="shared" si="3"/>
        <v>1996923.2128119043</v>
      </c>
      <c r="AE5" s="134">
        <f>IF(NOT(Q5="Pick Type"),VLOOKUP(Q5,'LCA Data'!$C$8:$S$107,9,FALSE)*Lists!R5,0)</f>
        <v>2.2152000000000001E-3</v>
      </c>
      <c r="AF5" s="135">
        <f>IF(NOT(Q5="Pick Type"),VLOOKUP(Q5,'LCA Data'!$C$8:$S$107,13,FALSE)*Lists!R5,0)</f>
        <v>8.7360000000000004E-5</v>
      </c>
      <c r="AG5" s="136">
        <f>IF(NOT(Q5="Pick Type"),VLOOKUP(Q5,'LCA Data'!$C$8:$S$107,17,FALSE)*Lists!R5,0)</f>
        <v>4.8568000000000007E-6</v>
      </c>
      <c r="AH5" s="137">
        <f t="shared" si="4"/>
        <v>2.3074167999999999E-3</v>
      </c>
      <c r="AI5" s="126" t="str">
        <f t="shared" si="5"/>
        <v>Curtain Wall (sf)</v>
      </c>
      <c r="AJ5" s="126"/>
      <c r="AK5" s="126" t="s">
        <v>310</v>
      </c>
      <c r="AL5" s="129">
        <f t="shared" si="6"/>
        <v>144127.67199999999</v>
      </c>
      <c r="AM5" s="126">
        <f t="shared" si="7"/>
        <v>0</v>
      </c>
      <c r="AN5" s="126">
        <f t="shared" si="8"/>
        <v>0</v>
      </c>
      <c r="AO5" s="126">
        <f t="shared" si="9"/>
        <v>0</v>
      </c>
      <c r="AP5" s="126">
        <f t="shared" si="10"/>
        <v>0</v>
      </c>
      <c r="AQ5" s="126">
        <f t="shared" si="11"/>
        <v>0</v>
      </c>
      <c r="AR5" s="126">
        <f t="shared" si="12"/>
        <v>0</v>
      </c>
      <c r="AS5" s="126">
        <f t="shared" si="13"/>
        <v>0</v>
      </c>
      <c r="AT5" s="126">
        <f t="shared" si="14"/>
        <v>0</v>
      </c>
      <c r="AU5" s="126">
        <f t="shared" si="15"/>
        <v>0</v>
      </c>
      <c r="AV5" s="126">
        <f t="shared" si="16"/>
        <v>0</v>
      </c>
      <c r="AW5" s="126">
        <f t="shared" si="17"/>
        <v>0</v>
      </c>
      <c r="AX5" s="126">
        <f t="shared" si="18"/>
        <v>0</v>
      </c>
      <c r="AY5" s="126">
        <f t="shared" si="19"/>
        <v>0</v>
      </c>
      <c r="AZ5" s="126">
        <f t="shared" si="20"/>
        <v>0</v>
      </c>
      <c r="BA5" s="126">
        <f t="shared" si="21"/>
        <v>0</v>
      </c>
      <c r="BB5" s="126">
        <f t="shared" si="22"/>
        <v>0</v>
      </c>
      <c r="BC5" s="126">
        <f t="shared" si="23"/>
        <v>0</v>
      </c>
      <c r="BD5" s="126">
        <f t="shared" si="24"/>
        <v>0</v>
      </c>
      <c r="BE5" s="126">
        <f t="shared" si="25"/>
        <v>0</v>
      </c>
      <c r="BF5" s="126">
        <f t="shared" si="26"/>
        <v>0</v>
      </c>
      <c r="BG5" s="126">
        <f t="shared" si="27"/>
        <v>0</v>
      </c>
      <c r="BH5" s="126">
        <f t="shared" si="28"/>
        <v>0</v>
      </c>
      <c r="BI5" s="126">
        <f t="shared" si="29"/>
        <v>0</v>
      </c>
      <c r="BJ5" s="126">
        <f t="shared" si="30"/>
        <v>0</v>
      </c>
      <c r="BK5" s="126">
        <f t="shared" si="31"/>
        <v>0</v>
      </c>
      <c r="BL5" s="126">
        <f t="shared" si="32"/>
        <v>0</v>
      </c>
      <c r="BM5" s="126">
        <f t="shared" si="33"/>
        <v>0</v>
      </c>
      <c r="BN5" s="126">
        <f t="shared" si="34"/>
        <v>0</v>
      </c>
      <c r="BO5" s="126">
        <f t="shared" si="35"/>
        <v>0</v>
      </c>
      <c r="BP5" s="126">
        <f t="shared" si="36"/>
        <v>0</v>
      </c>
      <c r="BQ5" s="126">
        <f t="shared" si="37"/>
        <v>0</v>
      </c>
      <c r="BR5" s="126">
        <f t="shared" si="38"/>
        <v>0</v>
      </c>
      <c r="BS5" s="126">
        <f t="shared" si="39"/>
        <v>0</v>
      </c>
      <c r="BT5" s="126">
        <f t="shared" si="40"/>
        <v>0</v>
      </c>
      <c r="BU5" s="126">
        <f t="shared" si="41"/>
        <v>0</v>
      </c>
      <c r="BV5" s="126">
        <f t="shared" si="42"/>
        <v>0</v>
      </c>
      <c r="BW5" s="126">
        <f t="shared" si="43"/>
        <v>0</v>
      </c>
      <c r="BX5" s="126">
        <f t="shared" si="44"/>
        <v>0</v>
      </c>
      <c r="BY5" s="126">
        <f t="shared" si="45"/>
        <v>0</v>
      </c>
      <c r="BZ5" s="126">
        <f t="shared" si="46"/>
        <v>0</v>
      </c>
      <c r="CA5" s="126">
        <f t="shared" si="47"/>
        <v>0</v>
      </c>
      <c r="CB5" s="126">
        <f t="shared" si="48"/>
        <v>0</v>
      </c>
      <c r="CC5" s="126">
        <f t="shared" si="49"/>
        <v>0</v>
      </c>
      <c r="CD5" s="126">
        <f t="shared" si="50"/>
        <v>0</v>
      </c>
      <c r="CE5" s="126">
        <f t="shared" si="51"/>
        <v>0</v>
      </c>
      <c r="CF5" s="126">
        <f t="shared" si="52"/>
        <v>0</v>
      </c>
      <c r="CG5" s="126">
        <f t="shared" si="53"/>
        <v>0</v>
      </c>
      <c r="CH5" s="126">
        <f t="shared" si="54"/>
        <v>0</v>
      </c>
      <c r="CI5" s="126">
        <f t="shared" si="55"/>
        <v>0</v>
      </c>
      <c r="CJ5" s="126">
        <f t="shared" si="56"/>
        <v>0</v>
      </c>
      <c r="CK5" s="126"/>
    </row>
    <row r="6" spans="1:89" ht="9.75" customHeight="1">
      <c r="A6" s="126" t="s">
        <v>171</v>
      </c>
      <c r="B6" s="126" t="s">
        <v>137</v>
      </c>
      <c r="C6" s="126" t="s">
        <v>144</v>
      </c>
      <c r="D6" s="126" t="s">
        <v>155</v>
      </c>
      <c r="E6" s="126" t="s">
        <v>166</v>
      </c>
      <c r="F6" s="126" t="s">
        <v>180</v>
      </c>
      <c r="G6" s="126" t="s">
        <v>186</v>
      </c>
      <c r="H6" s="126"/>
      <c r="I6" s="126"/>
      <c r="J6" s="126" t="s">
        <v>204</v>
      </c>
      <c r="K6" s="126" t="s">
        <v>236</v>
      </c>
      <c r="L6" s="126" t="s">
        <v>223</v>
      </c>
      <c r="M6" s="126"/>
      <c r="N6" s="126" t="s">
        <v>121</v>
      </c>
      <c r="O6" s="126"/>
      <c r="P6" s="126" t="str">
        <f>'Construction and Materials'!B20</f>
        <v>Interior Wall</v>
      </c>
      <c r="Q6" s="126" t="str">
        <f>'Construction and Materials'!C20</f>
        <v>Timber Studs and Painted Gypsum (sf)</v>
      </c>
      <c r="R6" s="129">
        <f>'Construction and Materials'!D20</f>
        <v>30500</v>
      </c>
      <c r="S6" s="130">
        <f>IF(NOT(Q6="Pick Type"),VLOOKUP(Q6,'LCA Data'!$C$8:$S$107,6,FALSE)*Lists!R6,0)</f>
        <v>91739.255481255095</v>
      </c>
      <c r="T6" s="131">
        <f>IF(NOT(Q6="Pick Type"),VLOOKUP(Q6,'LCA Data'!$C$8:$S$107,10,FALSE)*Lists!R6,0)</f>
        <v>8343.9762177138819</v>
      </c>
      <c r="U6" s="132">
        <f>IF(NOT(Q6="Pick Type"),VLOOKUP(Q6,'LCA Data'!$C$8:$S$107,14,FALSE)*Lists!R6,0)</f>
        <v>348783.65935180493</v>
      </c>
      <c r="V6" s="133">
        <f t="shared" si="1"/>
        <v>448866.89105077391</v>
      </c>
      <c r="W6" s="130">
        <f>IF(NOT(Q6="Pick Type"),VLOOKUP(Q6,'LCA Data'!$C$8:$S$107,7,FALSE)*Lists!R6,0)</f>
        <v>1484901.8288268878</v>
      </c>
      <c r="X6" s="131">
        <f>IF(NOT(Q6="Pick Type"),VLOOKUP(Q6,'LCA Data'!$C$8:$S$107,11,FALSE)*Lists!R6,0)</f>
        <v>128487.4984603225</v>
      </c>
      <c r="Y6" s="132">
        <f>IF(NOT(Q6="Pick Type"),VLOOKUP(Q6,'LCA Data'!$C$8:$S$107,15,FALSE)*Lists!R6,0)</f>
        <v>4900798.4059434384</v>
      </c>
      <c r="Z6" s="133">
        <f t="shared" si="2"/>
        <v>6514187.7332306486</v>
      </c>
      <c r="AA6" s="130">
        <f>IF(NOT(Q6="Pick Type"),VLOOKUP(Q6,'LCA Data'!$C$8:$S$107,8,FALSE)*Lists!R6,0)</f>
        <v>597084.73827889119</v>
      </c>
      <c r="AB6" s="131">
        <f>IF(NOT(Q6="Pick Type"),VLOOKUP(Q6,'LCA Data'!$C$8:$S$107,12,FALSE)*Lists!R6,0)</f>
        <v>29797.774707653894</v>
      </c>
      <c r="AC6" s="132">
        <f>IF(NOT(Q6="Pick Type"),VLOOKUP(Q6,'LCA Data'!$C$8:$S$107,16,FALSE)*Lists!R6,0)</f>
        <v>0</v>
      </c>
      <c r="AD6" s="133">
        <f t="shared" si="3"/>
        <v>626882.5129865451</v>
      </c>
      <c r="AE6" s="134">
        <f>IF(NOT(Q6="Pick Type"),VLOOKUP(Q6,'LCA Data'!$C$8:$S$107,9,FALSE)*Lists!R6,0)</f>
        <v>1.1318760018110521E-2</v>
      </c>
      <c r="AF6" s="135">
        <f>IF(NOT(Q6="Pick Type"),VLOOKUP(Q6,'LCA Data'!$C$8:$S$107,13,FALSE)*Lists!R6,0)</f>
        <v>1.3244789204664576E-3</v>
      </c>
      <c r="AG6" s="136">
        <f>IF(NOT(Q6="Pick Type"),VLOOKUP(Q6,'LCA Data'!$C$8:$S$107,17,FALSE)*Lists!R6,0)</f>
        <v>1.4232516543218465E-5</v>
      </c>
      <c r="AH6" s="137">
        <f t="shared" si="4"/>
        <v>1.2657471455120197E-2</v>
      </c>
      <c r="AI6" s="126" t="str">
        <f t="shared" si="5"/>
        <v>Timber Studs and Painted Gypsum (sf)</v>
      </c>
      <c r="AJ6" s="126"/>
      <c r="AK6" s="126" t="s">
        <v>311</v>
      </c>
      <c r="AL6" s="129">
        <f t="shared" si="6"/>
        <v>448866.89105077391</v>
      </c>
      <c r="AM6" s="126">
        <f t="shared" si="7"/>
        <v>0</v>
      </c>
      <c r="AN6" s="126">
        <f t="shared" si="8"/>
        <v>0</v>
      </c>
      <c r="AO6" s="126">
        <f t="shared" si="9"/>
        <v>0</v>
      </c>
      <c r="AP6" s="126">
        <f t="shared" si="10"/>
        <v>0</v>
      </c>
      <c r="AQ6" s="126">
        <f t="shared" si="11"/>
        <v>0</v>
      </c>
      <c r="AR6" s="126">
        <f t="shared" si="12"/>
        <v>0</v>
      </c>
      <c r="AS6" s="126">
        <f t="shared" si="13"/>
        <v>0</v>
      </c>
      <c r="AT6" s="126">
        <f t="shared" si="14"/>
        <v>0</v>
      </c>
      <c r="AU6" s="126">
        <f t="shared" si="15"/>
        <v>0</v>
      </c>
      <c r="AV6" s="126">
        <f t="shared" si="16"/>
        <v>0</v>
      </c>
      <c r="AW6" s="126">
        <f t="shared" si="17"/>
        <v>0</v>
      </c>
      <c r="AX6" s="126">
        <f t="shared" si="18"/>
        <v>0</v>
      </c>
      <c r="AY6" s="126">
        <f t="shared" si="19"/>
        <v>0</v>
      </c>
      <c r="AZ6" s="126">
        <f t="shared" si="20"/>
        <v>0</v>
      </c>
      <c r="BA6" s="126">
        <f t="shared" si="21"/>
        <v>0</v>
      </c>
      <c r="BB6" s="126">
        <f t="shared" si="22"/>
        <v>0</v>
      </c>
      <c r="BC6" s="126">
        <f t="shared" si="23"/>
        <v>0</v>
      </c>
      <c r="BD6" s="126">
        <f t="shared" si="24"/>
        <v>0</v>
      </c>
      <c r="BE6" s="126">
        <f t="shared" si="25"/>
        <v>0</v>
      </c>
      <c r="BF6" s="126">
        <f t="shared" si="26"/>
        <v>0</v>
      </c>
      <c r="BG6" s="126">
        <f t="shared" si="27"/>
        <v>0</v>
      </c>
      <c r="BH6" s="126">
        <f t="shared" si="28"/>
        <v>0</v>
      </c>
      <c r="BI6" s="126">
        <f t="shared" si="29"/>
        <v>0</v>
      </c>
      <c r="BJ6" s="126">
        <f t="shared" si="30"/>
        <v>0</v>
      </c>
      <c r="BK6" s="126">
        <f t="shared" si="31"/>
        <v>0</v>
      </c>
      <c r="BL6" s="126">
        <f t="shared" si="32"/>
        <v>0</v>
      </c>
      <c r="BM6" s="126">
        <f t="shared" si="33"/>
        <v>0</v>
      </c>
      <c r="BN6" s="126">
        <f t="shared" si="34"/>
        <v>0</v>
      </c>
      <c r="BO6" s="126">
        <f t="shared" si="35"/>
        <v>0</v>
      </c>
      <c r="BP6" s="126">
        <f t="shared" si="36"/>
        <v>0</v>
      </c>
      <c r="BQ6" s="126">
        <f t="shared" si="37"/>
        <v>0</v>
      </c>
      <c r="BR6" s="126">
        <f t="shared" si="38"/>
        <v>0</v>
      </c>
      <c r="BS6" s="126">
        <f t="shared" si="39"/>
        <v>0</v>
      </c>
      <c r="BT6" s="126">
        <f t="shared" si="40"/>
        <v>0</v>
      </c>
      <c r="BU6" s="126">
        <f t="shared" si="41"/>
        <v>0</v>
      </c>
      <c r="BV6" s="126">
        <f t="shared" si="42"/>
        <v>0</v>
      </c>
      <c r="BW6" s="126">
        <f t="shared" si="43"/>
        <v>0</v>
      </c>
      <c r="BX6" s="126">
        <f t="shared" si="44"/>
        <v>0</v>
      </c>
      <c r="BY6" s="126">
        <f t="shared" si="45"/>
        <v>0</v>
      </c>
      <c r="BZ6" s="126">
        <f t="shared" si="46"/>
        <v>0</v>
      </c>
      <c r="CA6" s="126">
        <f t="shared" si="47"/>
        <v>0</v>
      </c>
      <c r="CB6" s="126">
        <f t="shared" si="48"/>
        <v>0</v>
      </c>
      <c r="CC6" s="126">
        <f t="shared" si="49"/>
        <v>0</v>
      </c>
      <c r="CD6" s="126">
        <f t="shared" si="50"/>
        <v>0</v>
      </c>
      <c r="CE6" s="126">
        <f t="shared" si="51"/>
        <v>0</v>
      </c>
      <c r="CF6" s="126">
        <f t="shared" si="52"/>
        <v>0</v>
      </c>
      <c r="CG6" s="126">
        <f t="shared" si="53"/>
        <v>0</v>
      </c>
      <c r="CH6" s="126">
        <f t="shared" si="54"/>
        <v>0</v>
      </c>
      <c r="CI6" s="126">
        <f t="shared" si="55"/>
        <v>0</v>
      </c>
      <c r="CJ6" s="126">
        <f t="shared" si="56"/>
        <v>0</v>
      </c>
      <c r="CK6" s="126"/>
    </row>
    <row r="7" spans="1:89" ht="9.75" customHeight="1">
      <c r="A7" s="126" t="s">
        <v>181</v>
      </c>
      <c r="B7" s="126" t="s">
        <v>138</v>
      </c>
      <c r="C7" s="126"/>
      <c r="D7" s="126" t="s">
        <v>156</v>
      </c>
      <c r="E7" s="126" t="s">
        <v>167</v>
      </c>
      <c r="F7" s="126" t="s">
        <v>179</v>
      </c>
      <c r="G7" s="126" t="s">
        <v>187</v>
      </c>
      <c r="H7" s="126"/>
      <c r="I7" s="126"/>
      <c r="J7" s="126" t="s">
        <v>206</v>
      </c>
      <c r="K7" s="126" t="s">
        <v>237</v>
      </c>
      <c r="L7" s="126" t="s">
        <v>229</v>
      </c>
      <c r="M7" s="126"/>
      <c r="N7" s="126" t="s">
        <v>120</v>
      </c>
      <c r="O7" s="126"/>
      <c r="P7" s="126" t="str">
        <f>'Construction and Materials'!B21</f>
        <v>Interior Wall</v>
      </c>
      <c r="Q7" s="126" t="str">
        <f>'Construction and Materials'!C21</f>
        <v>Timber Studs and Painted Gypsum (sf)</v>
      </c>
      <c r="R7" s="129">
        <f>'Construction and Materials'!D21</f>
        <v>5000</v>
      </c>
      <c r="S7" s="130">
        <f>IF(NOT(Q7="Pick Type"),VLOOKUP(Q7,'LCA Data'!$C$8:$S$107,6,FALSE)*Lists!R7,0)</f>
        <v>15039.222210041818</v>
      </c>
      <c r="T7" s="131">
        <f>IF(NOT(Q7="Pick Type"),VLOOKUP(Q7,'LCA Data'!$C$8:$S$107,10,FALSE)*Lists!R7,0)</f>
        <v>1367.8649537235872</v>
      </c>
      <c r="U7" s="132">
        <f>IF(NOT(Q7="Pick Type"),VLOOKUP(Q7,'LCA Data'!$C$8:$S$107,14,FALSE)*Lists!R7,0)</f>
        <v>57177.649074066387</v>
      </c>
      <c r="V7" s="133">
        <f t="shared" si="1"/>
        <v>73584.736237831792</v>
      </c>
      <c r="W7" s="130">
        <f>IF(NOT(Q7="Pick Type"),VLOOKUP(Q7,'LCA Data'!$C$8:$S$107,7,FALSE)*Lists!R7,0)</f>
        <v>243426.52931588324</v>
      </c>
      <c r="X7" s="131">
        <f>IF(NOT(Q7="Pick Type"),VLOOKUP(Q7,'LCA Data'!$C$8:$S$107,11,FALSE)*Lists!R7,0)</f>
        <v>21063.524337757786</v>
      </c>
      <c r="Y7" s="132">
        <f>IF(NOT(Q7="Pick Type"),VLOOKUP(Q7,'LCA Data'!$C$8:$S$107,15,FALSE)*Lists!R7,0)</f>
        <v>803409.57474482595</v>
      </c>
      <c r="Z7" s="133">
        <f t="shared" si="2"/>
        <v>1067899.6283984669</v>
      </c>
      <c r="AA7" s="130">
        <f>IF(NOT(Q7="Pick Type"),VLOOKUP(Q7,'LCA Data'!$C$8:$S$107,8,FALSE)*Lists!R7,0)</f>
        <v>97882.743980146086</v>
      </c>
      <c r="AB7" s="131">
        <f>IF(NOT(Q7="Pick Type"),VLOOKUP(Q7,'LCA Data'!$C$8:$S$107,12,FALSE)*Lists!R7,0)</f>
        <v>4884.8810996153925</v>
      </c>
      <c r="AC7" s="132">
        <f>IF(NOT(Q7="Pick Type"),VLOOKUP(Q7,'LCA Data'!$C$8:$S$107,16,FALSE)*Lists!R7,0)</f>
        <v>0</v>
      </c>
      <c r="AD7" s="133">
        <f t="shared" si="3"/>
        <v>102767.62507976148</v>
      </c>
      <c r="AE7" s="134">
        <f>IF(NOT(Q7="Pick Type"),VLOOKUP(Q7,'LCA Data'!$C$8:$S$107,9,FALSE)*Lists!R7,0)</f>
        <v>1.8555344291984459E-3</v>
      </c>
      <c r="AF7" s="135">
        <f>IF(NOT(Q7="Pick Type"),VLOOKUP(Q7,'LCA Data'!$C$8:$S$107,13,FALSE)*Lists!R7,0)</f>
        <v>2.1712769187974716E-4</v>
      </c>
      <c r="AG7" s="136">
        <f>IF(NOT(Q7="Pick Type"),VLOOKUP(Q7,'LCA Data'!$C$8:$S$107,17,FALSE)*Lists!R7,0)</f>
        <v>2.3331994333145024E-6</v>
      </c>
      <c r="AH7" s="137">
        <f t="shared" si="4"/>
        <v>2.0749953205115076E-3</v>
      </c>
      <c r="AI7" s="126" t="str">
        <f t="shared" si="5"/>
        <v>Timber Studs and Painted Gypsum (sf)</v>
      </c>
      <c r="AJ7" s="126"/>
      <c r="AK7" s="138" t="s">
        <v>312</v>
      </c>
      <c r="AL7" s="129">
        <f t="shared" si="6"/>
        <v>73584.736237831792</v>
      </c>
      <c r="AM7" s="126">
        <f t="shared" si="7"/>
        <v>0</v>
      </c>
      <c r="AN7" s="126">
        <f t="shared" si="8"/>
        <v>0</v>
      </c>
      <c r="AO7" s="126">
        <f t="shared" si="9"/>
        <v>0</v>
      </c>
      <c r="AP7" s="126">
        <f t="shared" si="10"/>
        <v>0</v>
      </c>
      <c r="AQ7" s="126">
        <f t="shared" si="11"/>
        <v>0</v>
      </c>
      <c r="AR7" s="126">
        <f t="shared" si="12"/>
        <v>0</v>
      </c>
      <c r="AS7" s="126">
        <f t="shared" si="13"/>
        <v>0</v>
      </c>
      <c r="AT7" s="126">
        <f t="shared" si="14"/>
        <v>0</v>
      </c>
      <c r="AU7" s="126">
        <f t="shared" si="15"/>
        <v>0</v>
      </c>
      <c r="AV7" s="126">
        <f t="shared" si="16"/>
        <v>0</v>
      </c>
      <c r="AW7" s="126">
        <f t="shared" si="17"/>
        <v>0</v>
      </c>
      <c r="AX7" s="126">
        <f t="shared" si="18"/>
        <v>0</v>
      </c>
      <c r="AY7" s="126">
        <f t="shared" si="19"/>
        <v>0</v>
      </c>
      <c r="AZ7" s="126">
        <f t="shared" si="20"/>
        <v>0</v>
      </c>
      <c r="BA7" s="126">
        <f t="shared" si="21"/>
        <v>0</v>
      </c>
      <c r="BB7" s="126">
        <f t="shared" si="22"/>
        <v>0</v>
      </c>
      <c r="BC7" s="126">
        <f t="shared" si="23"/>
        <v>0</v>
      </c>
      <c r="BD7" s="126">
        <f t="shared" si="24"/>
        <v>0</v>
      </c>
      <c r="BE7" s="126">
        <f t="shared" si="25"/>
        <v>0</v>
      </c>
      <c r="BF7" s="126">
        <f t="shared" si="26"/>
        <v>0</v>
      </c>
      <c r="BG7" s="126">
        <f t="shared" si="27"/>
        <v>0</v>
      </c>
      <c r="BH7" s="126">
        <f t="shared" si="28"/>
        <v>0</v>
      </c>
      <c r="BI7" s="126">
        <f t="shared" si="29"/>
        <v>0</v>
      </c>
      <c r="BJ7" s="126">
        <f t="shared" si="30"/>
        <v>0</v>
      </c>
      <c r="BK7" s="126">
        <f t="shared" si="31"/>
        <v>0</v>
      </c>
      <c r="BL7" s="126">
        <f t="shared" si="32"/>
        <v>0</v>
      </c>
      <c r="BM7" s="126">
        <f t="shared" si="33"/>
        <v>0</v>
      </c>
      <c r="BN7" s="126">
        <f t="shared" si="34"/>
        <v>0</v>
      </c>
      <c r="BO7" s="126">
        <f t="shared" si="35"/>
        <v>0</v>
      </c>
      <c r="BP7" s="126">
        <f t="shared" si="36"/>
        <v>0</v>
      </c>
      <c r="BQ7" s="126">
        <f t="shared" si="37"/>
        <v>0</v>
      </c>
      <c r="BR7" s="126">
        <f t="shared" si="38"/>
        <v>0</v>
      </c>
      <c r="BS7" s="126">
        <f t="shared" si="39"/>
        <v>0</v>
      </c>
      <c r="BT7" s="126">
        <f t="shared" si="40"/>
        <v>0</v>
      </c>
      <c r="BU7" s="126">
        <f t="shared" si="41"/>
        <v>0</v>
      </c>
      <c r="BV7" s="126">
        <f t="shared" si="42"/>
        <v>0</v>
      </c>
      <c r="BW7" s="126">
        <f t="shared" si="43"/>
        <v>0</v>
      </c>
      <c r="BX7" s="126">
        <f t="shared" si="44"/>
        <v>0</v>
      </c>
      <c r="BY7" s="126">
        <f t="shared" si="45"/>
        <v>0</v>
      </c>
      <c r="BZ7" s="126">
        <f t="shared" si="46"/>
        <v>0</v>
      </c>
      <c r="CA7" s="126">
        <f t="shared" si="47"/>
        <v>0</v>
      </c>
      <c r="CB7" s="126">
        <f t="shared" si="48"/>
        <v>0</v>
      </c>
      <c r="CC7" s="126">
        <f t="shared" si="49"/>
        <v>0</v>
      </c>
      <c r="CD7" s="126">
        <f t="shared" si="50"/>
        <v>0</v>
      </c>
      <c r="CE7" s="126">
        <f t="shared" si="51"/>
        <v>0</v>
      </c>
      <c r="CF7" s="126">
        <f t="shared" si="52"/>
        <v>0</v>
      </c>
      <c r="CG7" s="126">
        <f t="shared" si="53"/>
        <v>0</v>
      </c>
      <c r="CH7" s="126">
        <f t="shared" si="54"/>
        <v>0</v>
      </c>
      <c r="CI7" s="126">
        <f t="shared" si="55"/>
        <v>0</v>
      </c>
      <c r="CJ7" s="126">
        <f t="shared" si="56"/>
        <v>0</v>
      </c>
      <c r="CK7" s="126"/>
    </row>
    <row r="8" spans="1:89" ht="9.75" customHeight="1">
      <c r="A8" s="126" t="s">
        <v>313</v>
      </c>
      <c r="B8" s="126"/>
      <c r="C8" s="126"/>
      <c r="D8" s="126" t="s">
        <v>158</v>
      </c>
      <c r="E8" s="126" t="s">
        <v>168</v>
      </c>
      <c r="F8" s="126" t="s">
        <v>177</v>
      </c>
      <c r="G8" s="126"/>
      <c r="H8" s="126"/>
      <c r="I8" s="126"/>
      <c r="J8" s="126" t="s">
        <v>207</v>
      </c>
      <c r="K8" s="126" t="s">
        <v>234</v>
      </c>
      <c r="L8" s="126" t="s">
        <v>314</v>
      </c>
      <c r="M8" s="126"/>
      <c r="N8" s="126"/>
      <c r="O8" s="126"/>
      <c r="P8" s="126" t="str">
        <f>'Construction and Materials'!B22</f>
        <v>Floor</v>
      </c>
      <c r="Q8" s="126" t="str">
        <f>'Construction and Materials'!C22</f>
        <v>Concrete (sf)</v>
      </c>
      <c r="R8" s="129">
        <f>'Construction and Materials'!D22</f>
        <v>28504</v>
      </c>
      <c r="S8" s="130">
        <f>IF(NOT(Q8="Pick Type"),VLOOKUP(Q8,'LCA Data'!$C$8:$S$107,6,FALSE)*Lists!R8,0)</f>
        <v>209162.35200000001</v>
      </c>
      <c r="T8" s="131">
        <f>IF(NOT(Q8="Pick Type"),VLOOKUP(Q8,'LCA Data'!$C$8:$S$107,10,FALSE)*Lists!R8,0)</f>
        <v>9537.4384000000009</v>
      </c>
      <c r="U8" s="132">
        <f>IF(NOT(Q8="Pick Type"),VLOOKUP(Q8,'LCA Data'!$C$8:$S$107,14,FALSE)*Lists!R8,0)</f>
        <v>119930.18094400001</v>
      </c>
      <c r="V8" s="133">
        <f t="shared" si="1"/>
        <v>338629.97134400002</v>
      </c>
      <c r="W8" s="130">
        <f>IF(NOT(Q8="Pick Type"),VLOOKUP(Q8,'LCA Data'!$C$8:$S$107,7,FALSE)*Lists!R8,0)</f>
        <v>1186364.3797152</v>
      </c>
      <c r="X8" s="131">
        <f>IF(NOT(Q8="Pick Type"),VLOOKUP(Q8,'LCA Data'!$C$8:$S$107,11,FALSE)*Lists!R8,0)</f>
        <v>147111.09253344001</v>
      </c>
      <c r="Y8" s="132">
        <f>IF(NOT(Q8="Pick Type"),VLOOKUP(Q8,'LCA Data'!$C$8:$S$107,15,FALSE)*Lists!R8,0)</f>
        <v>1685152.9703594879</v>
      </c>
      <c r="Z8" s="133">
        <f t="shared" si="2"/>
        <v>3018628.4426081283</v>
      </c>
      <c r="AA8" s="130">
        <f>IF(NOT(Q8="Pick Type"),VLOOKUP(Q8,'LCA Data'!$C$8:$S$107,8,FALSE)*Lists!R8,0)</f>
        <v>2462118.5120000006</v>
      </c>
      <c r="AB8" s="131">
        <f>IF(NOT(Q8="Pick Type"),VLOOKUP(Q8,'LCA Data'!$C$8:$S$107,12,FALSE)*Lists!R8,0)</f>
        <v>33905.508000000002</v>
      </c>
      <c r="AC8" s="132">
        <f>IF(NOT(Q8="Pick Type"),VLOOKUP(Q8,'LCA Data'!$C$8:$S$107,16,FALSE)*Lists!R8,0)</f>
        <v>1786262.1485810573</v>
      </c>
      <c r="AD8" s="133">
        <f t="shared" si="3"/>
        <v>4282286.1685810573</v>
      </c>
      <c r="AE8" s="134">
        <f>IF(NOT(Q8="Pick Type"),VLOOKUP(Q8,'LCA Data'!$C$8:$S$107,9,FALSE)*Lists!R8,0)</f>
        <v>7.0718888615199996E-3</v>
      </c>
      <c r="AF8" s="135">
        <f>IF(NOT(Q8="Pick Type"),VLOOKUP(Q8,'LCA Data'!$C$8:$S$107,13,FALSE)*Lists!R8,0)</f>
        <v>1.5124222399999999E-3</v>
      </c>
      <c r="AG8" s="136">
        <f>IF(NOT(Q8="Pick Type"),VLOOKUP(Q8,'LCA Data'!$C$8:$S$107,17,FALSE)*Lists!R8,0)</f>
        <v>4.9026880000000002E-6</v>
      </c>
      <c r="AH8" s="137">
        <f t="shared" si="4"/>
        <v>8.5892137895199998E-3</v>
      </c>
      <c r="AI8" s="126" t="str">
        <f t="shared" si="5"/>
        <v>Concrete (sf)</v>
      </c>
      <c r="AJ8" s="126"/>
      <c r="AK8" s="138" t="s">
        <v>312</v>
      </c>
      <c r="AL8" s="129">
        <f t="shared" si="6"/>
        <v>338629.97134400002</v>
      </c>
      <c r="AM8" s="126">
        <f t="shared" si="7"/>
        <v>0</v>
      </c>
      <c r="AN8" s="126">
        <f t="shared" si="8"/>
        <v>0</v>
      </c>
      <c r="AO8" s="126">
        <f t="shared" si="9"/>
        <v>0</v>
      </c>
      <c r="AP8" s="126">
        <f t="shared" si="10"/>
        <v>0</v>
      </c>
      <c r="AQ8" s="126">
        <f t="shared" si="11"/>
        <v>0</v>
      </c>
      <c r="AR8" s="126">
        <f t="shared" si="12"/>
        <v>0</v>
      </c>
      <c r="AS8" s="126">
        <f t="shared" si="13"/>
        <v>0</v>
      </c>
      <c r="AT8" s="126">
        <f t="shared" si="14"/>
        <v>0</v>
      </c>
      <c r="AU8" s="126">
        <f t="shared" si="15"/>
        <v>0</v>
      </c>
      <c r="AV8" s="126">
        <f t="shared" si="16"/>
        <v>0</v>
      </c>
      <c r="AW8" s="126">
        <f t="shared" si="17"/>
        <v>0</v>
      </c>
      <c r="AX8" s="126">
        <f t="shared" si="18"/>
        <v>0</v>
      </c>
      <c r="AY8" s="126">
        <f t="shared" si="19"/>
        <v>0</v>
      </c>
      <c r="AZ8" s="126">
        <f t="shared" si="20"/>
        <v>0</v>
      </c>
      <c r="BA8" s="126">
        <f t="shared" si="21"/>
        <v>0</v>
      </c>
      <c r="BB8" s="126">
        <f t="shared" si="22"/>
        <v>0</v>
      </c>
      <c r="BC8" s="126">
        <f t="shared" si="23"/>
        <v>0</v>
      </c>
      <c r="BD8" s="126">
        <f t="shared" si="24"/>
        <v>0</v>
      </c>
      <c r="BE8" s="126">
        <f t="shared" si="25"/>
        <v>0</v>
      </c>
      <c r="BF8" s="126">
        <f t="shared" si="26"/>
        <v>0</v>
      </c>
      <c r="BG8" s="126">
        <f t="shared" si="27"/>
        <v>0</v>
      </c>
      <c r="BH8" s="126">
        <f t="shared" si="28"/>
        <v>0</v>
      </c>
      <c r="BI8" s="126">
        <f t="shared" si="29"/>
        <v>0</v>
      </c>
      <c r="BJ8" s="126">
        <f t="shared" si="30"/>
        <v>0</v>
      </c>
      <c r="BK8" s="126">
        <f t="shared" si="31"/>
        <v>0</v>
      </c>
      <c r="BL8" s="126">
        <f t="shared" si="32"/>
        <v>0</v>
      </c>
      <c r="BM8" s="126">
        <f t="shared" si="33"/>
        <v>0</v>
      </c>
      <c r="BN8" s="126">
        <f t="shared" si="34"/>
        <v>0</v>
      </c>
      <c r="BO8" s="126">
        <f t="shared" si="35"/>
        <v>0</v>
      </c>
      <c r="BP8" s="126">
        <f t="shared" si="36"/>
        <v>0</v>
      </c>
      <c r="BQ8" s="126">
        <f t="shared" si="37"/>
        <v>0</v>
      </c>
      <c r="BR8" s="126">
        <f t="shared" si="38"/>
        <v>0</v>
      </c>
      <c r="BS8" s="126">
        <f t="shared" si="39"/>
        <v>0</v>
      </c>
      <c r="BT8" s="126">
        <f t="shared" si="40"/>
        <v>0</v>
      </c>
      <c r="BU8" s="126">
        <f t="shared" si="41"/>
        <v>0</v>
      </c>
      <c r="BV8" s="126">
        <f t="shared" si="42"/>
        <v>0</v>
      </c>
      <c r="BW8" s="126">
        <f t="shared" si="43"/>
        <v>0</v>
      </c>
      <c r="BX8" s="126">
        <f t="shared" si="44"/>
        <v>0</v>
      </c>
      <c r="BY8" s="126">
        <f t="shared" si="45"/>
        <v>0</v>
      </c>
      <c r="BZ8" s="126">
        <f t="shared" si="46"/>
        <v>0</v>
      </c>
      <c r="CA8" s="126">
        <f t="shared" si="47"/>
        <v>0</v>
      </c>
      <c r="CB8" s="126">
        <f t="shared" si="48"/>
        <v>0</v>
      </c>
      <c r="CC8" s="126">
        <f t="shared" si="49"/>
        <v>0</v>
      </c>
      <c r="CD8" s="126">
        <f t="shared" si="50"/>
        <v>0</v>
      </c>
      <c r="CE8" s="126">
        <f t="shared" si="51"/>
        <v>0</v>
      </c>
      <c r="CF8" s="126">
        <f t="shared" si="52"/>
        <v>0</v>
      </c>
      <c r="CG8" s="126">
        <f t="shared" si="53"/>
        <v>0</v>
      </c>
      <c r="CH8" s="126">
        <f t="shared" si="54"/>
        <v>0</v>
      </c>
      <c r="CI8" s="126">
        <f t="shared" si="55"/>
        <v>0</v>
      </c>
      <c r="CJ8" s="126">
        <f t="shared" si="56"/>
        <v>0</v>
      </c>
      <c r="CK8" s="126"/>
    </row>
    <row r="9" spans="1:89" ht="9.75" customHeight="1">
      <c r="A9" s="126" t="s">
        <v>315</v>
      </c>
      <c r="B9" s="126"/>
      <c r="C9" s="126"/>
      <c r="D9" s="126" t="s">
        <v>151</v>
      </c>
      <c r="E9" s="126" t="s">
        <v>165</v>
      </c>
      <c r="F9" s="126"/>
      <c r="G9" s="126"/>
      <c r="H9" s="126"/>
      <c r="I9" s="126"/>
      <c r="J9" s="126" t="s">
        <v>209</v>
      </c>
      <c r="K9" s="126" t="s">
        <v>241</v>
      </c>
      <c r="L9" s="126" t="s">
        <v>230</v>
      </c>
      <c r="M9" s="126"/>
      <c r="N9" s="126"/>
      <c r="O9" s="126"/>
      <c r="P9" s="126" t="str">
        <f>'Construction and Materials'!B23</f>
        <v>Foundation</v>
      </c>
      <c r="Q9" s="126" t="str">
        <f>'Construction and Materials'!C23</f>
        <v>Novacem Concrete Slab (cy)</v>
      </c>
      <c r="R9" s="129">
        <f>'Construction and Materials'!D23</f>
        <v>324</v>
      </c>
      <c r="S9" s="130">
        <f>IF(NOT(Q9="Pick Type"),VLOOKUP(Q9,'LCA Data'!$C$8:$S$107,6,FALSE)*Lists!R9,0)</f>
        <v>22732.812000000013</v>
      </c>
      <c r="T9" s="131">
        <f>IF(NOT(Q9="Pick Type"),VLOOKUP(Q9,'LCA Data'!$C$8:$S$107,10,FALSE)*Lists!R9,0)</f>
        <v>4356.3646800000006</v>
      </c>
      <c r="U9" s="132">
        <f>IF(NOT(Q9="Pick Type"),VLOOKUP(Q9,'LCA Data'!$C$8:$S$107,14,FALSE)*Lists!R9,0)</f>
        <v>1769.04</v>
      </c>
      <c r="V9" s="133">
        <f t="shared" si="1"/>
        <v>28858.216680000012</v>
      </c>
      <c r="W9" s="130">
        <f>IF(NOT(Q9="Pick Type"),VLOOKUP(Q9,'LCA Data'!$C$8:$S$107,7,FALSE)*Lists!R9,0)</f>
        <v>376361.93574719987</v>
      </c>
      <c r="X9" s="131">
        <f>IF(NOT(Q9="Pick Type"),VLOOKUP(Q9,'LCA Data'!$C$8:$S$107,11,FALSE)*Lists!R9,0)</f>
        <v>66904.402485599989</v>
      </c>
      <c r="Y9" s="132">
        <f>IF(NOT(Q9="Pick Type"),VLOOKUP(Q9,'LCA Data'!$C$8:$S$107,15,FALSE)*Lists!R9,0)</f>
        <v>27673.073280000004</v>
      </c>
      <c r="Z9" s="133">
        <f t="shared" si="2"/>
        <v>470939.41151279985</v>
      </c>
      <c r="AA9" s="130">
        <f>IF(NOT(Q9="Pick Type"),VLOOKUP(Q9,'LCA Data'!$C$8:$S$107,8,FALSE)*Lists!R9,0)</f>
        <v>987828.69600000011</v>
      </c>
      <c r="AB9" s="131">
        <f>IF(NOT(Q9="Pick Type"),VLOOKUP(Q9,'LCA Data'!$C$8:$S$107,12,FALSE)*Lists!R9,0)</f>
        <v>15519.5676</v>
      </c>
      <c r="AC9" s="132">
        <f>IF(NOT(Q9="Pick Type"),VLOOKUP(Q9,'LCA Data'!$C$8:$S$107,16,FALSE)*Lists!R9,0)</f>
        <v>29333.457676800008</v>
      </c>
      <c r="AD9" s="133">
        <f t="shared" si="3"/>
        <v>1032681.7212768</v>
      </c>
      <c r="AE9" s="134">
        <f>IF(NOT(Q9="Pick Type"),VLOOKUP(Q9,'LCA Data'!$C$8:$S$107,9,FALSE)*Lists!R9,0)</f>
        <v>1.3304095549200002E-3</v>
      </c>
      <c r="AF9" s="135">
        <f>IF(NOT(Q9="Pick Type"),VLOOKUP(Q9,'LCA Data'!$C$8:$S$107,13,FALSE)*Lists!R9,0)</f>
        <v>6.9073074000000005E-4</v>
      </c>
      <c r="AG9" s="136">
        <f>IF(NOT(Q9="Pick Type"),VLOOKUP(Q9,'LCA Data'!$C$8:$S$107,17,FALSE)*Lists!R9,0)</f>
        <v>8.0352000000000004E-8</v>
      </c>
      <c r="AH9" s="137">
        <f t="shared" si="4"/>
        <v>2.02122064692E-3</v>
      </c>
      <c r="AI9" s="126" t="str">
        <f t="shared" si="5"/>
        <v>Novacem Concrete Slab (cy)</v>
      </c>
      <c r="AJ9" s="126"/>
      <c r="AK9" s="138" t="s">
        <v>312</v>
      </c>
      <c r="AL9" s="129">
        <f t="shared" si="6"/>
        <v>28858.216680000012</v>
      </c>
      <c r="AM9" s="126">
        <f t="shared" si="7"/>
        <v>0</v>
      </c>
      <c r="AN9" s="126">
        <f t="shared" si="8"/>
        <v>0</v>
      </c>
      <c r="AO9" s="126">
        <f t="shared" si="9"/>
        <v>0</v>
      </c>
      <c r="AP9" s="126">
        <f t="shared" si="10"/>
        <v>0</v>
      </c>
      <c r="AQ9" s="126">
        <f t="shared" si="11"/>
        <v>0</v>
      </c>
      <c r="AR9" s="126">
        <f t="shared" si="12"/>
        <v>0</v>
      </c>
      <c r="AS9" s="126">
        <f t="shared" si="13"/>
        <v>0</v>
      </c>
      <c r="AT9" s="126">
        <f t="shared" si="14"/>
        <v>0</v>
      </c>
      <c r="AU9" s="126">
        <f t="shared" si="15"/>
        <v>0</v>
      </c>
      <c r="AV9" s="126">
        <f t="shared" si="16"/>
        <v>0</v>
      </c>
      <c r="AW9" s="126">
        <f t="shared" si="17"/>
        <v>0</v>
      </c>
      <c r="AX9" s="126">
        <f t="shared" si="18"/>
        <v>0</v>
      </c>
      <c r="AY9" s="126">
        <f t="shared" si="19"/>
        <v>0</v>
      </c>
      <c r="AZ9" s="126">
        <f t="shared" si="20"/>
        <v>0</v>
      </c>
      <c r="BA9" s="126">
        <f t="shared" si="21"/>
        <v>0</v>
      </c>
      <c r="BB9" s="126">
        <f t="shared" si="22"/>
        <v>0</v>
      </c>
      <c r="BC9" s="126">
        <f t="shared" si="23"/>
        <v>0</v>
      </c>
      <c r="BD9" s="126">
        <f t="shared" si="24"/>
        <v>0</v>
      </c>
      <c r="BE9" s="126">
        <f t="shared" si="25"/>
        <v>0</v>
      </c>
      <c r="BF9" s="126">
        <f t="shared" si="26"/>
        <v>0</v>
      </c>
      <c r="BG9" s="126">
        <f t="shared" si="27"/>
        <v>0</v>
      </c>
      <c r="BH9" s="126">
        <f t="shared" si="28"/>
        <v>0</v>
      </c>
      <c r="BI9" s="126">
        <f t="shared" si="29"/>
        <v>0</v>
      </c>
      <c r="BJ9" s="126">
        <f t="shared" si="30"/>
        <v>0</v>
      </c>
      <c r="BK9" s="126">
        <f t="shared" si="31"/>
        <v>0</v>
      </c>
      <c r="BL9" s="126">
        <f t="shared" si="32"/>
        <v>0</v>
      </c>
      <c r="BM9" s="126">
        <f t="shared" si="33"/>
        <v>0</v>
      </c>
      <c r="BN9" s="126">
        <f t="shared" si="34"/>
        <v>0</v>
      </c>
      <c r="BO9" s="126">
        <f t="shared" si="35"/>
        <v>0</v>
      </c>
      <c r="BP9" s="126">
        <f t="shared" si="36"/>
        <v>0</v>
      </c>
      <c r="BQ9" s="126">
        <f t="shared" si="37"/>
        <v>0</v>
      </c>
      <c r="BR9" s="126">
        <f t="shared" si="38"/>
        <v>0</v>
      </c>
      <c r="BS9" s="126">
        <f t="shared" si="39"/>
        <v>0</v>
      </c>
      <c r="BT9" s="126">
        <f t="shared" si="40"/>
        <v>0</v>
      </c>
      <c r="BU9" s="126">
        <f t="shared" si="41"/>
        <v>0</v>
      </c>
      <c r="BV9" s="126">
        <f t="shared" si="42"/>
        <v>0</v>
      </c>
      <c r="BW9" s="126">
        <f t="shared" si="43"/>
        <v>0</v>
      </c>
      <c r="BX9" s="126">
        <f t="shared" si="44"/>
        <v>0</v>
      </c>
      <c r="BY9" s="126">
        <f t="shared" si="45"/>
        <v>0</v>
      </c>
      <c r="BZ9" s="126">
        <f t="shared" si="46"/>
        <v>0</v>
      </c>
      <c r="CA9" s="126">
        <f t="shared" si="47"/>
        <v>0</v>
      </c>
      <c r="CB9" s="126">
        <f t="shared" si="48"/>
        <v>0</v>
      </c>
      <c r="CC9" s="126">
        <f t="shared" si="49"/>
        <v>0</v>
      </c>
      <c r="CD9" s="126">
        <f t="shared" si="50"/>
        <v>0</v>
      </c>
      <c r="CE9" s="126">
        <f t="shared" si="51"/>
        <v>0</v>
      </c>
      <c r="CF9" s="126">
        <f t="shared" si="52"/>
        <v>0</v>
      </c>
      <c r="CG9" s="126">
        <f t="shared" si="53"/>
        <v>0</v>
      </c>
      <c r="CH9" s="126">
        <f t="shared" si="54"/>
        <v>0</v>
      </c>
      <c r="CI9" s="126">
        <f t="shared" si="55"/>
        <v>0</v>
      </c>
      <c r="CJ9" s="126">
        <f t="shared" si="56"/>
        <v>0</v>
      </c>
      <c r="CK9" s="126"/>
    </row>
    <row r="10" spans="1:89" ht="9.75" customHeight="1">
      <c r="A10" s="126" t="s">
        <v>22</v>
      </c>
      <c r="B10" s="126"/>
      <c r="C10" s="126"/>
      <c r="D10" s="126" t="s">
        <v>152</v>
      </c>
      <c r="E10" s="126" t="s">
        <v>170</v>
      </c>
      <c r="F10" s="126"/>
      <c r="G10" s="126"/>
      <c r="H10" s="126"/>
      <c r="I10" s="126"/>
      <c r="J10" s="126" t="s">
        <v>214</v>
      </c>
      <c r="K10" s="126" t="s">
        <v>233</v>
      </c>
      <c r="L10" s="126"/>
      <c r="M10" s="126"/>
      <c r="N10" s="126"/>
      <c r="O10" s="126"/>
      <c r="P10" s="126" t="str">
        <f>'Construction and Materials'!B24</f>
        <v>Floor</v>
      </c>
      <c r="Q10" s="126" t="str">
        <f>'Construction and Materials'!C24</f>
        <v>Wood System (sf)</v>
      </c>
      <c r="R10" s="129">
        <f>'Construction and Materials'!D24</f>
        <v>28500</v>
      </c>
      <c r="S10" s="130">
        <f>IF(NOT(Q10="Pick Type"),VLOOKUP(Q10,'LCA Data'!$C$8:$S$107,6,FALSE)*Lists!R10,0)</f>
        <v>102315</v>
      </c>
      <c r="T10" s="131">
        <f>IF(NOT(Q10="Pick Type"),VLOOKUP(Q10,'LCA Data'!$C$8:$S$107,10,FALSE)*Lists!R10,0)</f>
        <v>3990.0000000000005</v>
      </c>
      <c r="U10" s="132">
        <f>IF(NOT(Q10="Pick Type"),VLOOKUP(Q10,'LCA Data'!$C$8:$S$107,14,FALSE)*Lists!R10,0)</f>
        <v>119913.35100000001</v>
      </c>
      <c r="V10" s="133">
        <f t="shared" si="1"/>
        <v>226218.35100000002</v>
      </c>
      <c r="W10" s="130">
        <f>IF(NOT(Q10="Pick Type"),VLOOKUP(Q10,'LCA Data'!$C$8:$S$107,7,FALSE)*Lists!R10,0)</f>
        <v>1360291.32</v>
      </c>
      <c r="X10" s="131">
        <f>IF(NOT(Q10="Pick Type"),VLOOKUP(Q10,'LCA Data'!$C$8:$S$107,11,FALSE)*Lists!R10,0)</f>
        <v>61451.756999999998</v>
      </c>
      <c r="Y10" s="132">
        <f>IF(NOT(Q10="Pick Type"),VLOOKUP(Q10,'LCA Data'!$C$8:$S$107,15,FALSE)*Lists!R10,0)</f>
        <v>1684916.490852</v>
      </c>
      <c r="Z10" s="133">
        <f t="shared" si="2"/>
        <v>3106659.5678519998</v>
      </c>
      <c r="AA10" s="130">
        <f>IF(NOT(Q10="Pick Type"),VLOOKUP(Q10,'LCA Data'!$C$8:$S$107,8,FALSE)*Lists!R10,0)</f>
        <v>607050</v>
      </c>
      <c r="AB10" s="131">
        <f>IF(NOT(Q10="Pick Type"),VLOOKUP(Q10,'LCA Data'!$C$8:$S$107,12,FALSE)*Lists!R10,0)</f>
        <v>14278.5</v>
      </c>
      <c r="AC10" s="132">
        <f>IF(NOT(Q10="Pick Type"),VLOOKUP(Q10,'LCA Data'!$C$8:$S$107,16,FALSE)*Lists!R10,0)</f>
        <v>1786011.4803031201</v>
      </c>
      <c r="AD10" s="133">
        <f t="shared" si="3"/>
        <v>2407339.9803031199</v>
      </c>
      <c r="AE10" s="134">
        <f>IF(NOT(Q10="Pick Type"),VLOOKUP(Q10,'LCA Data'!$C$8:$S$107,9,FALSE)*Lists!R10,0)</f>
        <v>2.6419499999999998E-6</v>
      </c>
      <c r="AF10" s="135">
        <f>IF(NOT(Q10="Pick Type"),VLOOKUP(Q10,'LCA Data'!$C$8:$S$107,13,FALSE)*Lists!R10,0)</f>
        <v>6.3270000000000015E-4</v>
      </c>
      <c r="AG10" s="136">
        <f>IF(NOT(Q10="Pick Type"),VLOOKUP(Q10,'LCA Data'!$C$8:$S$107,17,FALSE)*Lists!R10,0)</f>
        <v>4.9019999999999998E-6</v>
      </c>
      <c r="AH10" s="137">
        <f t="shared" si="4"/>
        <v>6.4024395000000008E-4</v>
      </c>
      <c r="AI10" s="126" t="str">
        <f t="shared" si="5"/>
        <v>Wood System (sf)</v>
      </c>
      <c r="AJ10" s="126"/>
      <c r="AK10" s="138" t="s">
        <v>312</v>
      </c>
      <c r="AL10" s="129">
        <f t="shared" si="6"/>
        <v>226218.35100000002</v>
      </c>
      <c r="AM10" s="126">
        <f t="shared" si="7"/>
        <v>0</v>
      </c>
      <c r="AN10" s="126">
        <f t="shared" si="8"/>
        <v>0</v>
      </c>
      <c r="AO10" s="126">
        <f t="shared" si="9"/>
        <v>0</v>
      </c>
      <c r="AP10" s="126">
        <f t="shared" si="10"/>
        <v>0</v>
      </c>
      <c r="AQ10" s="126">
        <f t="shared" si="11"/>
        <v>0</v>
      </c>
      <c r="AR10" s="126">
        <f t="shared" si="12"/>
        <v>0</v>
      </c>
      <c r="AS10" s="126">
        <f t="shared" si="13"/>
        <v>0</v>
      </c>
      <c r="AT10" s="126">
        <f t="shared" si="14"/>
        <v>0</v>
      </c>
      <c r="AU10" s="126">
        <f t="shared" si="15"/>
        <v>0</v>
      </c>
      <c r="AV10" s="126">
        <f t="shared" si="16"/>
        <v>0</v>
      </c>
      <c r="AW10" s="126">
        <f t="shared" si="17"/>
        <v>0</v>
      </c>
      <c r="AX10" s="126">
        <f t="shared" si="18"/>
        <v>0</v>
      </c>
      <c r="AY10" s="126">
        <f t="shared" si="19"/>
        <v>0</v>
      </c>
      <c r="AZ10" s="126">
        <f t="shared" si="20"/>
        <v>0</v>
      </c>
      <c r="BA10" s="126">
        <f t="shared" si="21"/>
        <v>0</v>
      </c>
      <c r="BB10" s="126">
        <f t="shared" si="22"/>
        <v>0</v>
      </c>
      <c r="BC10" s="126">
        <f t="shared" si="23"/>
        <v>0</v>
      </c>
      <c r="BD10" s="126">
        <f t="shared" si="24"/>
        <v>0</v>
      </c>
      <c r="BE10" s="126">
        <f t="shared" si="25"/>
        <v>0</v>
      </c>
      <c r="BF10" s="126">
        <f t="shared" si="26"/>
        <v>0</v>
      </c>
      <c r="BG10" s="126">
        <f t="shared" si="27"/>
        <v>0</v>
      </c>
      <c r="BH10" s="126">
        <f t="shared" si="28"/>
        <v>0</v>
      </c>
      <c r="BI10" s="126">
        <f t="shared" si="29"/>
        <v>0</v>
      </c>
      <c r="BJ10" s="126">
        <f t="shared" si="30"/>
        <v>0</v>
      </c>
      <c r="BK10" s="126">
        <f t="shared" si="31"/>
        <v>0</v>
      </c>
      <c r="BL10" s="126">
        <f t="shared" si="32"/>
        <v>0</v>
      </c>
      <c r="BM10" s="126">
        <f t="shared" si="33"/>
        <v>0</v>
      </c>
      <c r="BN10" s="126">
        <f t="shared" si="34"/>
        <v>0</v>
      </c>
      <c r="BO10" s="126">
        <f t="shared" si="35"/>
        <v>0</v>
      </c>
      <c r="BP10" s="126">
        <f t="shared" si="36"/>
        <v>0</v>
      </c>
      <c r="BQ10" s="126">
        <f t="shared" si="37"/>
        <v>0</v>
      </c>
      <c r="BR10" s="126">
        <f t="shared" si="38"/>
        <v>0</v>
      </c>
      <c r="BS10" s="126">
        <f t="shared" si="39"/>
        <v>0</v>
      </c>
      <c r="BT10" s="126">
        <f t="shared" si="40"/>
        <v>0</v>
      </c>
      <c r="BU10" s="126">
        <f t="shared" si="41"/>
        <v>0</v>
      </c>
      <c r="BV10" s="126">
        <f t="shared" si="42"/>
        <v>0</v>
      </c>
      <c r="BW10" s="126">
        <f t="shared" si="43"/>
        <v>0</v>
      </c>
      <c r="BX10" s="126">
        <f t="shared" si="44"/>
        <v>0</v>
      </c>
      <c r="BY10" s="126">
        <f t="shared" si="45"/>
        <v>0</v>
      </c>
      <c r="BZ10" s="126">
        <f t="shared" si="46"/>
        <v>0</v>
      </c>
      <c r="CA10" s="126">
        <f t="shared" si="47"/>
        <v>0</v>
      </c>
      <c r="CB10" s="126">
        <f t="shared" si="48"/>
        <v>0</v>
      </c>
      <c r="CC10" s="126">
        <f t="shared" si="49"/>
        <v>0</v>
      </c>
      <c r="CD10" s="126">
        <f t="shared" si="50"/>
        <v>0</v>
      </c>
      <c r="CE10" s="126">
        <f t="shared" si="51"/>
        <v>0</v>
      </c>
      <c r="CF10" s="126">
        <f t="shared" si="52"/>
        <v>0</v>
      </c>
      <c r="CG10" s="126">
        <f t="shared" si="53"/>
        <v>0</v>
      </c>
      <c r="CH10" s="126">
        <f t="shared" si="54"/>
        <v>0</v>
      </c>
      <c r="CI10" s="126">
        <f t="shared" si="55"/>
        <v>0</v>
      </c>
      <c r="CJ10" s="126">
        <f t="shared" si="56"/>
        <v>0</v>
      </c>
      <c r="CK10" s="126"/>
    </row>
    <row r="11" spans="1:89" ht="9.75" customHeight="1">
      <c r="A11" s="126" t="s">
        <v>231</v>
      </c>
      <c r="B11" s="126"/>
      <c r="C11" s="126"/>
      <c r="D11" s="126" t="s">
        <v>157</v>
      </c>
      <c r="E11" s="126" t="s">
        <v>164</v>
      </c>
      <c r="F11" s="126"/>
      <c r="G11" s="126"/>
      <c r="H11" s="126"/>
      <c r="I11" s="126"/>
      <c r="J11" s="126" t="s">
        <v>215</v>
      </c>
      <c r="K11" s="126" t="s">
        <v>232</v>
      </c>
      <c r="L11" s="126"/>
      <c r="M11" s="126"/>
      <c r="N11" s="126"/>
      <c r="O11" s="126"/>
      <c r="P11" s="126" t="str">
        <f>'Construction and Materials'!B25</f>
        <v>Pick Assembly</v>
      </c>
      <c r="Q11" s="126" t="str">
        <f>'Construction and Materials'!C25</f>
        <v>Pick Type</v>
      </c>
      <c r="R11" s="129">
        <f>'Construction and Materials'!D25</f>
        <v>0</v>
      </c>
      <c r="S11" s="130">
        <f>IF(NOT(Q11="Pick Type"),VLOOKUP(Q11,'LCA Data'!$C$8:$S$107,6,FALSE)*Lists!R11,0)</f>
        <v>0</v>
      </c>
      <c r="T11" s="131">
        <f>IF(NOT(Q11="Pick Type"),VLOOKUP(Q11,'LCA Data'!$C$8:$S$107,10,FALSE)*Lists!R11,0)</f>
        <v>0</v>
      </c>
      <c r="U11" s="132">
        <f>IF(NOT(Q11="Pick Type"),VLOOKUP(Q11,'LCA Data'!$C$8:$S$107,14,FALSE)*Lists!R11,0)</f>
        <v>0</v>
      </c>
      <c r="V11" s="133">
        <f t="shared" si="1"/>
        <v>0</v>
      </c>
      <c r="W11" s="130">
        <f>IF(NOT(Q11="Pick Type"),VLOOKUP(Q11,'LCA Data'!$C$8:$S$107,7,FALSE)*Lists!R11,0)</f>
        <v>0</v>
      </c>
      <c r="X11" s="131">
        <f>IF(NOT(Q11="Pick Type"),VLOOKUP(Q11,'LCA Data'!$C$8:$S$107,11,FALSE)*Lists!R11,0)</f>
        <v>0</v>
      </c>
      <c r="Y11" s="132">
        <f>IF(NOT(Q11="Pick Type"),VLOOKUP(Q11,'LCA Data'!$C$8:$S$107,15,FALSE)*Lists!R11,0)</f>
        <v>0</v>
      </c>
      <c r="Z11" s="133">
        <f t="shared" si="2"/>
        <v>0</v>
      </c>
      <c r="AA11" s="130">
        <f>IF(NOT(Q11="Pick Type"),VLOOKUP(Q11,'LCA Data'!$C$8:$S$107,8,FALSE)*Lists!R11,0)</f>
        <v>0</v>
      </c>
      <c r="AB11" s="131">
        <f>IF(NOT(Q11="Pick Type"),VLOOKUP(Q11,'LCA Data'!$C$8:$S$107,12,FALSE)*Lists!R11,0)</f>
        <v>0</v>
      </c>
      <c r="AC11" s="132">
        <f>IF(NOT(Q11="Pick Type"),VLOOKUP(Q11,'LCA Data'!$C$8:$S$107,16,FALSE)*Lists!R11,0)</f>
        <v>0</v>
      </c>
      <c r="AD11" s="133">
        <f t="shared" si="3"/>
        <v>0</v>
      </c>
      <c r="AE11" s="134">
        <f>IF(NOT(Q11="Pick Type"),VLOOKUP(Q11,'LCA Data'!$C$8:$S$107,9,FALSE)*Lists!R11,0)</f>
        <v>0</v>
      </c>
      <c r="AF11" s="135">
        <f>IF(NOT(Q11="Pick Type"),VLOOKUP(Q11,'LCA Data'!$C$8:$S$107,13,FALSE)*Lists!R11,0)</f>
        <v>0</v>
      </c>
      <c r="AG11" s="136">
        <f>IF(NOT(Q11="Pick Type"),VLOOKUP(Q11,'LCA Data'!$C$8:$S$107,17,FALSE)*Lists!R11,0)</f>
        <v>0</v>
      </c>
      <c r="AH11" s="137">
        <f t="shared" si="4"/>
        <v>0</v>
      </c>
      <c r="AI11" s="126" t="e">
        <f t="shared" si="5"/>
        <v>#N/A</v>
      </c>
      <c r="AJ11" s="126"/>
      <c r="AK11" s="138" t="s">
        <v>312</v>
      </c>
      <c r="AL11" s="129">
        <f t="shared" si="6"/>
        <v>0</v>
      </c>
      <c r="AM11" s="126">
        <f t="shared" si="7"/>
        <v>0</v>
      </c>
      <c r="AN11" s="126">
        <f t="shared" si="8"/>
        <v>0</v>
      </c>
      <c r="AO11" s="126">
        <f t="shared" si="9"/>
        <v>0</v>
      </c>
      <c r="AP11" s="126">
        <f t="shared" si="10"/>
        <v>0</v>
      </c>
      <c r="AQ11" s="126">
        <f t="shared" si="11"/>
        <v>0</v>
      </c>
      <c r="AR11" s="126">
        <f t="shared" si="12"/>
        <v>0</v>
      </c>
      <c r="AS11" s="126">
        <f t="shared" si="13"/>
        <v>0</v>
      </c>
      <c r="AT11" s="126">
        <f t="shared" si="14"/>
        <v>0</v>
      </c>
      <c r="AU11" s="126">
        <f t="shared" si="15"/>
        <v>0</v>
      </c>
      <c r="AV11" s="126">
        <f t="shared" si="16"/>
        <v>0</v>
      </c>
      <c r="AW11" s="126">
        <f t="shared" si="17"/>
        <v>0</v>
      </c>
      <c r="AX11" s="126">
        <f t="shared" si="18"/>
        <v>0</v>
      </c>
      <c r="AY11" s="126">
        <f t="shared" si="19"/>
        <v>0</v>
      </c>
      <c r="AZ11" s="126">
        <f t="shared" si="20"/>
        <v>0</v>
      </c>
      <c r="BA11" s="126">
        <f t="shared" si="21"/>
        <v>0</v>
      </c>
      <c r="BB11" s="126">
        <f t="shared" si="22"/>
        <v>0</v>
      </c>
      <c r="BC11" s="126">
        <f t="shared" si="23"/>
        <v>0</v>
      </c>
      <c r="BD11" s="126">
        <f t="shared" si="24"/>
        <v>0</v>
      </c>
      <c r="BE11" s="126">
        <f t="shared" si="25"/>
        <v>0</v>
      </c>
      <c r="BF11" s="126">
        <f t="shared" si="26"/>
        <v>0</v>
      </c>
      <c r="BG11" s="126">
        <f t="shared" si="27"/>
        <v>0</v>
      </c>
      <c r="BH11" s="126">
        <f t="shared" si="28"/>
        <v>0</v>
      </c>
      <c r="BI11" s="126">
        <f t="shared" si="29"/>
        <v>0</v>
      </c>
      <c r="BJ11" s="126">
        <f t="shared" si="30"/>
        <v>0</v>
      </c>
      <c r="BK11" s="126">
        <f t="shared" si="31"/>
        <v>0</v>
      </c>
      <c r="BL11" s="126">
        <f t="shared" si="32"/>
        <v>0</v>
      </c>
      <c r="BM11" s="126">
        <f t="shared" si="33"/>
        <v>0</v>
      </c>
      <c r="BN11" s="126">
        <f t="shared" si="34"/>
        <v>0</v>
      </c>
      <c r="BO11" s="126">
        <f t="shared" si="35"/>
        <v>0</v>
      </c>
      <c r="BP11" s="126">
        <f t="shared" si="36"/>
        <v>0</v>
      </c>
      <c r="BQ11" s="126">
        <f t="shared" si="37"/>
        <v>0</v>
      </c>
      <c r="BR11" s="126">
        <f t="shared" si="38"/>
        <v>0</v>
      </c>
      <c r="BS11" s="126">
        <f t="shared" si="39"/>
        <v>0</v>
      </c>
      <c r="BT11" s="126">
        <f t="shared" si="40"/>
        <v>0</v>
      </c>
      <c r="BU11" s="126">
        <f t="shared" si="41"/>
        <v>0</v>
      </c>
      <c r="BV11" s="126">
        <f t="shared" si="42"/>
        <v>0</v>
      </c>
      <c r="BW11" s="126">
        <f t="shared" si="43"/>
        <v>0</v>
      </c>
      <c r="BX11" s="126">
        <f t="shared" si="44"/>
        <v>0</v>
      </c>
      <c r="BY11" s="126">
        <f t="shared" si="45"/>
        <v>0</v>
      </c>
      <c r="BZ11" s="126">
        <f t="shared" si="46"/>
        <v>0</v>
      </c>
      <c r="CA11" s="126">
        <f t="shared" si="47"/>
        <v>0</v>
      </c>
      <c r="CB11" s="126">
        <f t="shared" si="48"/>
        <v>0</v>
      </c>
      <c r="CC11" s="126">
        <f t="shared" si="49"/>
        <v>0</v>
      </c>
      <c r="CD11" s="126">
        <f t="shared" si="50"/>
        <v>0</v>
      </c>
      <c r="CE11" s="126">
        <f t="shared" si="51"/>
        <v>0</v>
      </c>
      <c r="CF11" s="126">
        <f t="shared" si="52"/>
        <v>0</v>
      </c>
      <c r="CG11" s="126">
        <f t="shared" si="53"/>
        <v>0</v>
      </c>
      <c r="CH11" s="126">
        <f t="shared" si="54"/>
        <v>0</v>
      </c>
      <c r="CI11" s="126">
        <f t="shared" si="55"/>
        <v>0</v>
      </c>
      <c r="CJ11" s="126">
        <f t="shared" si="56"/>
        <v>0</v>
      </c>
      <c r="CK11" s="126"/>
    </row>
    <row r="12" spans="1:89" ht="9.75" customHeight="1">
      <c r="A12" s="126" t="s">
        <v>222</v>
      </c>
      <c r="B12" s="126"/>
      <c r="C12" s="126"/>
      <c r="D12" s="126"/>
      <c r="E12" s="126"/>
      <c r="F12" s="126"/>
      <c r="G12" s="126"/>
      <c r="H12" s="126"/>
      <c r="I12" s="126"/>
      <c r="J12" s="126" t="s">
        <v>216</v>
      </c>
      <c r="K12" s="126"/>
      <c r="L12" s="126"/>
      <c r="M12" s="126"/>
      <c r="N12" s="126"/>
      <c r="O12" s="126"/>
      <c r="P12" s="126" t="str">
        <f>'Construction and Materials'!B26</f>
        <v>Foundation</v>
      </c>
      <c r="Q12" s="126" t="str">
        <f>'Construction and Materials'!C26</f>
        <v>Concrete Slab (cy)</v>
      </c>
      <c r="R12" s="129">
        <f>'Construction and Materials'!D26</f>
        <v>0</v>
      </c>
      <c r="S12" s="130">
        <f>IF(NOT(Q12="Pick Type"),VLOOKUP(Q12,'LCA Data'!$C$8:$S$107,6,FALSE)*Lists!R12,0)</f>
        <v>0</v>
      </c>
      <c r="T12" s="131">
        <f>IF(NOT(Q12="Pick Type"),VLOOKUP(Q12,'LCA Data'!$C$8:$S$107,10,FALSE)*Lists!R12,0)</f>
        <v>0</v>
      </c>
      <c r="U12" s="132">
        <f>IF(NOT(Q12="Pick Type"),VLOOKUP(Q12,'LCA Data'!$C$8:$S$107,14,FALSE)*Lists!R12,0)</f>
        <v>0</v>
      </c>
      <c r="V12" s="133">
        <f t="shared" si="1"/>
        <v>0</v>
      </c>
      <c r="W12" s="130">
        <f>IF(NOT(Q12="Pick Type"),VLOOKUP(Q12,'LCA Data'!$C$8:$S$107,7,FALSE)*Lists!R12,0)</f>
        <v>0</v>
      </c>
      <c r="X12" s="131">
        <f>IF(NOT(Q12="Pick Type"),VLOOKUP(Q12,'LCA Data'!$C$8:$S$107,11,FALSE)*Lists!R12,0)</f>
        <v>0</v>
      </c>
      <c r="Y12" s="132">
        <f>IF(NOT(Q12="Pick Type"),VLOOKUP(Q12,'LCA Data'!$C$8:$S$107,15,FALSE)*Lists!R12,0)</f>
        <v>0</v>
      </c>
      <c r="Z12" s="133">
        <f t="shared" si="2"/>
        <v>0</v>
      </c>
      <c r="AA12" s="130">
        <f>IF(NOT(Q12="Pick Type"),VLOOKUP(Q12,'LCA Data'!$C$8:$S$107,8,FALSE)*Lists!R12,0)</f>
        <v>0</v>
      </c>
      <c r="AB12" s="131">
        <f>IF(NOT(Q12="Pick Type"),VLOOKUP(Q12,'LCA Data'!$C$8:$S$107,12,FALSE)*Lists!R12,0)</f>
        <v>0</v>
      </c>
      <c r="AC12" s="132">
        <f>IF(NOT(Q12="Pick Type"),VLOOKUP(Q12,'LCA Data'!$C$8:$S$107,16,FALSE)*Lists!R12,0)</f>
        <v>0</v>
      </c>
      <c r="AD12" s="133">
        <f t="shared" si="3"/>
        <v>0</v>
      </c>
      <c r="AE12" s="134">
        <f>IF(NOT(Q12="Pick Type"),VLOOKUP(Q12,'LCA Data'!$C$8:$S$107,9,FALSE)*Lists!R12,0)</f>
        <v>0</v>
      </c>
      <c r="AF12" s="135">
        <f>IF(NOT(Q12="Pick Type"),VLOOKUP(Q12,'LCA Data'!$C$8:$S$107,13,FALSE)*Lists!R12,0)</f>
        <v>0</v>
      </c>
      <c r="AG12" s="136">
        <f>IF(NOT(Q12="Pick Type"),VLOOKUP(Q12,'LCA Data'!$C$8:$S$107,17,FALSE)*Lists!R12,0)</f>
        <v>0</v>
      </c>
      <c r="AH12" s="137">
        <f t="shared" si="4"/>
        <v>0</v>
      </c>
      <c r="AI12" s="126" t="e">
        <f t="shared" si="5"/>
        <v>#N/A</v>
      </c>
      <c r="AJ12" s="126"/>
      <c r="AK12" s="138" t="s">
        <v>312</v>
      </c>
      <c r="AL12" s="129">
        <f t="shared" si="6"/>
        <v>0</v>
      </c>
      <c r="AM12" s="126">
        <f t="shared" si="7"/>
        <v>0</v>
      </c>
      <c r="AN12" s="126">
        <f t="shared" si="8"/>
        <v>0</v>
      </c>
      <c r="AO12" s="126">
        <f t="shared" si="9"/>
        <v>0</v>
      </c>
      <c r="AP12" s="126">
        <f t="shared" si="10"/>
        <v>0</v>
      </c>
      <c r="AQ12" s="126">
        <f t="shared" si="11"/>
        <v>0</v>
      </c>
      <c r="AR12" s="126">
        <f t="shared" si="12"/>
        <v>0</v>
      </c>
      <c r="AS12" s="126">
        <f t="shared" si="13"/>
        <v>0</v>
      </c>
      <c r="AT12" s="126">
        <f t="shared" si="14"/>
        <v>0</v>
      </c>
      <c r="AU12" s="126">
        <f t="shared" si="15"/>
        <v>0</v>
      </c>
      <c r="AV12" s="126">
        <f t="shared" si="16"/>
        <v>0</v>
      </c>
      <c r="AW12" s="126">
        <f t="shared" si="17"/>
        <v>0</v>
      </c>
      <c r="AX12" s="126">
        <f t="shared" si="18"/>
        <v>0</v>
      </c>
      <c r="AY12" s="126">
        <f t="shared" si="19"/>
        <v>0</v>
      </c>
      <c r="AZ12" s="126">
        <f t="shared" si="20"/>
        <v>0</v>
      </c>
      <c r="BA12" s="126">
        <f t="shared" si="21"/>
        <v>0</v>
      </c>
      <c r="BB12" s="126">
        <f t="shared" si="22"/>
        <v>0</v>
      </c>
      <c r="BC12" s="126">
        <f t="shared" si="23"/>
        <v>0</v>
      </c>
      <c r="BD12" s="126">
        <f t="shared" si="24"/>
        <v>0</v>
      </c>
      <c r="BE12" s="126">
        <f t="shared" si="25"/>
        <v>0</v>
      </c>
      <c r="BF12" s="126">
        <f t="shared" si="26"/>
        <v>0</v>
      </c>
      <c r="BG12" s="126">
        <f t="shared" si="27"/>
        <v>0</v>
      </c>
      <c r="BH12" s="126">
        <f t="shared" si="28"/>
        <v>0</v>
      </c>
      <c r="BI12" s="126">
        <f t="shared" si="29"/>
        <v>0</v>
      </c>
      <c r="BJ12" s="126">
        <f t="shared" si="30"/>
        <v>0</v>
      </c>
      <c r="BK12" s="126">
        <f t="shared" si="31"/>
        <v>0</v>
      </c>
      <c r="BL12" s="126">
        <f t="shared" si="32"/>
        <v>0</v>
      </c>
      <c r="BM12" s="126">
        <f t="shared" si="33"/>
        <v>0</v>
      </c>
      <c r="BN12" s="126">
        <f t="shared" si="34"/>
        <v>0</v>
      </c>
      <c r="BO12" s="126">
        <f t="shared" si="35"/>
        <v>0</v>
      </c>
      <c r="BP12" s="126">
        <f t="shared" si="36"/>
        <v>0</v>
      </c>
      <c r="BQ12" s="126">
        <f t="shared" si="37"/>
        <v>0</v>
      </c>
      <c r="BR12" s="126">
        <f t="shared" si="38"/>
        <v>0</v>
      </c>
      <c r="BS12" s="126">
        <f t="shared" si="39"/>
        <v>0</v>
      </c>
      <c r="BT12" s="126">
        <f t="shared" si="40"/>
        <v>0</v>
      </c>
      <c r="BU12" s="126">
        <f t="shared" si="41"/>
        <v>0</v>
      </c>
      <c r="BV12" s="126">
        <f t="shared" si="42"/>
        <v>0</v>
      </c>
      <c r="BW12" s="126">
        <f t="shared" si="43"/>
        <v>0</v>
      </c>
      <c r="BX12" s="126">
        <f t="shared" si="44"/>
        <v>0</v>
      </c>
      <c r="BY12" s="126">
        <f t="shared" si="45"/>
        <v>0</v>
      </c>
      <c r="BZ12" s="126">
        <f t="shared" si="46"/>
        <v>0</v>
      </c>
      <c r="CA12" s="126">
        <f t="shared" si="47"/>
        <v>0</v>
      </c>
      <c r="CB12" s="126">
        <f t="shared" si="48"/>
        <v>0</v>
      </c>
      <c r="CC12" s="126">
        <f t="shared" si="49"/>
        <v>0</v>
      </c>
      <c r="CD12" s="126">
        <f t="shared" si="50"/>
        <v>0</v>
      </c>
      <c r="CE12" s="126">
        <f t="shared" si="51"/>
        <v>0</v>
      </c>
      <c r="CF12" s="126">
        <f t="shared" si="52"/>
        <v>0</v>
      </c>
      <c r="CG12" s="126">
        <f t="shared" si="53"/>
        <v>0</v>
      </c>
      <c r="CH12" s="126">
        <f t="shared" si="54"/>
        <v>0</v>
      </c>
      <c r="CI12" s="126">
        <f t="shared" si="55"/>
        <v>0</v>
      </c>
      <c r="CJ12" s="126">
        <f t="shared" si="56"/>
        <v>0</v>
      </c>
      <c r="CK12" s="126"/>
    </row>
    <row r="13" spans="1:89" ht="9.75" customHeight="1">
      <c r="A13" s="126" t="str">
        <f>IF('Construction and Materials'!B18="Foundation","DATA!B1:B4",IF('Construction and Materials'!B18="Interior Wall","DATA!C1:C4",IF('Construction and Materials'!B18="Exterior Wall","DATA!D1:D4",IF('Construction and Materials'!B18="Floor","DATA!E1:E4",IF('Construction and Materials'!B18="Roof","DATA!F1:F4",IF('Construction and Materials'!B18="Window","DATA!G1:G4",IF('Construction and Materials'!B18="Columns","DATA!H1:H4",IF('Construction and Materials'!B18="Beams","DATA!I1:I4","DATA!J1"))))))))</f>
        <v>DATA!G1:G4</v>
      </c>
      <c r="B13" s="126"/>
      <c r="C13" s="139"/>
      <c r="D13" s="126"/>
      <c r="E13" s="126"/>
      <c r="F13" s="126"/>
      <c r="G13" s="126"/>
      <c r="H13" s="126"/>
      <c r="I13" s="126"/>
      <c r="J13" s="126" t="s">
        <v>219</v>
      </c>
      <c r="K13" s="126"/>
      <c r="L13" s="126"/>
      <c r="M13" s="126"/>
      <c r="N13" s="126"/>
      <c r="O13" s="126"/>
      <c r="P13" s="126" t="str">
        <f>'Construction and Materials'!B27</f>
        <v>Beams</v>
      </c>
      <c r="Q13" s="126" t="str">
        <f>'Construction and Materials'!C27</f>
        <v>Wood Beam (kg)</v>
      </c>
      <c r="R13" s="129">
        <f>'Construction and Materials'!D27</f>
        <v>60985</v>
      </c>
      <c r="S13" s="130">
        <f>IF(NOT(Q13="Pick Type"),VLOOKUP(Q13,'LCA Data'!$C$8:$S$107,6,FALSE)*Lists!R13,0)</f>
        <v>33980.842000000004</v>
      </c>
      <c r="T13" s="131">
        <f>IF(NOT(Q13="Pick Type"),VLOOKUP(Q13,'LCA Data'!$C$8:$S$107,10,FALSE)*Lists!R13,0)</f>
        <v>1359.9655</v>
      </c>
      <c r="U13" s="132">
        <f>IF(NOT(Q13="Pick Type"),VLOOKUP(Q13,'LCA Data'!$C$8:$S$107,14,FALSE)*Lists!R13,0)</f>
        <v>32407.429</v>
      </c>
      <c r="V13" s="133">
        <f t="shared" si="1"/>
        <v>67748.236499999999</v>
      </c>
      <c r="W13" s="130">
        <f>IF(NOT(Q13="Pick Type"),VLOOKUP(Q13,'LCA Data'!$C$8:$S$107,7,FALSE)*Lists!R13,0)</f>
        <v>420415.34375</v>
      </c>
      <c r="X13" s="131">
        <f>IF(NOT(Q13="Pick Type"),VLOOKUP(Q13,'LCA Data'!$C$8:$S$107,11,FALSE)*Lists!R13,0)</f>
        <v>20937.223836000005</v>
      </c>
      <c r="Y13" s="132">
        <f>IF(NOT(Q13="Pick Type"),VLOOKUP(Q13,'LCA Data'!$C$8:$S$107,15,FALSE)*Lists!R13,0)</f>
        <v>456737.87802239996</v>
      </c>
      <c r="Z13" s="133">
        <f t="shared" si="2"/>
        <v>898090.44560840004</v>
      </c>
      <c r="AA13" s="130">
        <f>IF(NOT(Q13="Pick Type"),VLOOKUP(Q13,'LCA Data'!$C$8:$S$107,8,FALSE)*Lists!R13,0)</f>
        <v>119067.114</v>
      </c>
      <c r="AB13" s="131">
        <f>IF(NOT(Q13="Pick Type"),VLOOKUP(Q13,'LCA Data'!$C$8:$S$107,12,FALSE)*Lists!R13,0)</f>
        <v>4854.4059999999999</v>
      </c>
      <c r="AC13" s="132">
        <f>IF(NOT(Q13="Pick Type"),VLOOKUP(Q13,'LCA Data'!$C$8:$S$107,16,FALSE)*Lists!R13,0)</f>
        <v>484142.15070374403</v>
      </c>
      <c r="AD13" s="133">
        <f t="shared" si="3"/>
        <v>608063.67070374405</v>
      </c>
      <c r="AE13" s="134">
        <f>IF(NOT(Q13="Pick Type"),VLOOKUP(Q13,'LCA Data'!$C$8:$S$107,9,FALSE)*Lists!R13,0)</f>
        <v>7.4401699999999993E-7</v>
      </c>
      <c r="AF13" s="135">
        <f>IF(NOT(Q13="Pick Type"),VLOOKUP(Q13,'LCA Data'!$C$8:$S$107,13,FALSE)*Lists!R13,0)</f>
        <v>2.1588690000000002E-4</v>
      </c>
      <c r="AG13" s="136">
        <f>IF(NOT(Q13="Pick Type"),VLOOKUP(Q13,'LCA Data'!$C$8:$S$107,17,FALSE)*Lists!R13,0)</f>
        <v>1.3277654199999999E-6</v>
      </c>
      <c r="AH13" s="137">
        <f t="shared" si="4"/>
        <v>2.1795868242000001E-4</v>
      </c>
      <c r="AI13" s="126" t="str">
        <f t="shared" si="5"/>
        <v>Wood Beam (kg)</v>
      </c>
      <c r="AJ13" s="126"/>
      <c r="AK13" s="138" t="s">
        <v>312</v>
      </c>
      <c r="AL13" s="129">
        <f t="shared" si="6"/>
        <v>67748.236499999999</v>
      </c>
      <c r="AM13" s="126">
        <f t="shared" si="7"/>
        <v>0</v>
      </c>
      <c r="AN13" s="126">
        <f t="shared" si="8"/>
        <v>0</v>
      </c>
      <c r="AO13" s="126">
        <f t="shared" si="9"/>
        <v>0</v>
      </c>
      <c r="AP13" s="126">
        <f t="shared" si="10"/>
        <v>0</v>
      </c>
      <c r="AQ13" s="126">
        <f t="shared" si="11"/>
        <v>0</v>
      </c>
      <c r="AR13" s="126">
        <f t="shared" si="12"/>
        <v>0</v>
      </c>
      <c r="AS13" s="126">
        <f t="shared" si="13"/>
        <v>0</v>
      </c>
      <c r="AT13" s="126">
        <f t="shared" si="14"/>
        <v>0</v>
      </c>
      <c r="AU13" s="126">
        <f t="shared" si="15"/>
        <v>0</v>
      </c>
      <c r="AV13" s="126">
        <f t="shared" si="16"/>
        <v>0</v>
      </c>
      <c r="AW13" s="126">
        <f t="shared" si="17"/>
        <v>0</v>
      </c>
      <c r="AX13" s="126">
        <f t="shared" si="18"/>
        <v>0</v>
      </c>
      <c r="AY13" s="126">
        <f t="shared" si="19"/>
        <v>0</v>
      </c>
      <c r="AZ13" s="126">
        <f t="shared" si="20"/>
        <v>0</v>
      </c>
      <c r="BA13" s="126">
        <f t="shared" si="21"/>
        <v>0</v>
      </c>
      <c r="BB13" s="126">
        <f t="shared" si="22"/>
        <v>0</v>
      </c>
      <c r="BC13" s="126">
        <f t="shared" si="23"/>
        <v>0</v>
      </c>
      <c r="BD13" s="126">
        <f t="shared" si="24"/>
        <v>0</v>
      </c>
      <c r="BE13" s="126">
        <f t="shared" si="25"/>
        <v>0</v>
      </c>
      <c r="BF13" s="126">
        <f t="shared" si="26"/>
        <v>0</v>
      </c>
      <c r="BG13" s="126">
        <f t="shared" si="27"/>
        <v>0</v>
      </c>
      <c r="BH13" s="126">
        <f t="shared" si="28"/>
        <v>0</v>
      </c>
      <c r="BI13" s="126">
        <f t="shared" si="29"/>
        <v>0</v>
      </c>
      <c r="BJ13" s="126">
        <f t="shared" si="30"/>
        <v>0</v>
      </c>
      <c r="BK13" s="126">
        <f t="shared" si="31"/>
        <v>0</v>
      </c>
      <c r="BL13" s="126">
        <f t="shared" si="32"/>
        <v>0</v>
      </c>
      <c r="BM13" s="126">
        <f t="shared" si="33"/>
        <v>0</v>
      </c>
      <c r="BN13" s="126">
        <f t="shared" si="34"/>
        <v>0</v>
      </c>
      <c r="BO13" s="126">
        <f t="shared" si="35"/>
        <v>0</v>
      </c>
      <c r="BP13" s="126">
        <f t="shared" si="36"/>
        <v>0</v>
      </c>
      <c r="BQ13" s="126">
        <f t="shared" si="37"/>
        <v>0</v>
      </c>
      <c r="BR13" s="126">
        <f t="shared" si="38"/>
        <v>0</v>
      </c>
      <c r="BS13" s="126">
        <f t="shared" si="39"/>
        <v>0</v>
      </c>
      <c r="BT13" s="126">
        <f t="shared" si="40"/>
        <v>0</v>
      </c>
      <c r="BU13" s="126">
        <f t="shared" si="41"/>
        <v>0</v>
      </c>
      <c r="BV13" s="126">
        <f t="shared" si="42"/>
        <v>0</v>
      </c>
      <c r="BW13" s="126">
        <f t="shared" si="43"/>
        <v>0</v>
      </c>
      <c r="BX13" s="126">
        <f t="shared" si="44"/>
        <v>0</v>
      </c>
      <c r="BY13" s="126">
        <f t="shared" si="45"/>
        <v>0</v>
      </c>
      <c r="BZ13" s="126">
        <f t="shared" si="46"/>
        <v>0</v>
      </c>
      <c r="CA13" s="126">
        <f t="shared" si="47"/>
        <v>0</v>
      </c>
      <c r="CB13" s="126">
        <f t="shared" si="48"/>
        <v>0</v>
      </c>
      <c r="CC13" s="126">
        <f t="shared" si="49"/>
        <v>0</v>
      </c>
      <c r="CD13" s="126">
        <f t="shared" si="50"/>
        <v>0</v>
      </c>
      <c r="CE13" s="126">
        <f t="shared" si="51"/>
        <v>0</v>
      </c>
      <c r="CF13" s="126">
        <f t="shared" si="52"/>
        <v>0</v>
      </c>
      <c r="CG13" s="126">
        <f t="shared" si="53"/>
        <v>0</v>
      </c>
      <c r="CH13" s="126">
        <f t="shared" si="54"/>
        <v>0</v>
      </c>
      <c r="CI13" s="126">
        <f t="shared" si="55"/>
        <v>0</v>
      </c>
      <c r="CJ13" s="126">
        <f t="shared" si="56"/>
        <v>0</v>
      </c>
      <c r="CK13" s="126"/>
    </row>
    <row r="14" spans="1:89" ht="9.75" customHeight="1">
      <c r="A14" s="126"/>
      <c r="B14" s="126"/>
      <c r="C14" s="126"/>
      <c r="D14" s="126"/>
      <c r="E14" s="126"/>
      <c r="F14" s="126"/>
      <c r="G14" s="126"/>
      <c r="H14" s="126"/>
      <c r="I14" s="126"/>
      <c r="J14" s="126" t="s">
        <v>213</v>
      </c>
      <c r="K14" s="126"/>
      <c r="L14" s="126"/>
      <c r="M14" s="126"/>
      <c r="N14" s="126"/>
      <c r="O14" s="126"/>
      <c r="P14" s="126" t="str">
        <f>'Construction and Materials'!B28</f>
        <v>Exterior Wall</v>
      </c>
      <c r="Q14" s="126" t="str">
        <f>'Construction and Materials'!C28</f>
        <v>Concrete Cladding (sf)</v>
      </c>
      <c r="R14" s="129">
        <f>'Construction and Materials'!D28</f>
        <v>10400</v>
      </c>
      <c r="S14" s="130">
        <f>IF(NOT(Q14="Pick Type"),VLOOKUP(Q14,'LCA Data'!$C$8:$S$107,6,FALSE)*Lists!R14,0)</f>
        <v>85533.205898400003</v>
      </c>
      <c r="T14" s="131">
        <f>IF(NOT(Q14="Pick Type"),VLOOKUP(Q14,'LCA Data'!$C$8:$S$107,10,FALSE)*Lists!R14,0)</f>
        <v>16923.741390400002</v>
      </c>
      <c r="U14" s="132">
        <f>IF(NOT(Q14="Pick Type"),VLOOKUP(Q14,'LCA Data'!$C$8:$S$107,14,FALSE)*Lists!R14,0)</f>
        <v>118929.512</v>
      </c>
      <c r="V14" s="133">
        <f t="shared" si="1"/>
        <v>221386.45928880002</v>
      </c>
      <c r="W14" s="130">
        <f>IF(NOT(Q14="Pick Type"),VLOOKUP(Q14,'LCA Data'!$C$8:$S$107,7,FALSE)*Lists!R14,0)</f>
        <v>720385.56324799999</v>
      </c>
      <c r="X14" s="131">
        <f>IF(NOT(Q14="Pick Type"),VLOOKUP(Q14,'LCA Data'!$C$8:$S$107,11,FALSE)*Lists!R14,0)</f>
        <v>260605.87134400001</v>
      </c>
      <c r="Y14" s="132">
        <f>IF(NOT(Q14="Pick Type"),VLOOKUP(Q14,'LCA Data'!$C$8:$S$107,15,FALSE)*Lists!R14,0)</f>
        <v>1671091.7600000002</v>
      </c>
      <c r="Z14" s="133">
        <f t="shared" si="2"/>
        <v>2652083.194592</v>
      </c>
      <c r="AA14" s="130">
        <f>IF(NOT(Q14="Pick Type"),VLOOKUP(Q14,'LCA Data'!$C$8:$S$107,8,FALSE)*Lists!R14,0)</f>
        <v>1020275.7450080001</v>
      </c>
      <c r="AB14" s="131">
        <f>IF(NOT(Q14="Pick Type"),VLOOKUP(Q14,'LCA Data'!$C$8:$S$107,12,FALSE)*Lists!R14,0)</f>
        <v>60437.592488000002</v>
      </c>
      <c r="AC14" s="132">
        <f>IF(NOT(Q14="Pick Type"),VLOOKUP(Q14,'LCA Data'!$C$8:$S$107,16,FALSE)*Lists!R14,0)</f>
        <v>1771357.2656000003</v>
      </c>
      <c r="AD14" s="133">
        <f t="shared" si="3"/>
        <v>2852070.6030960004</v>
      </c>
      <c r="AE14" s="134">
        <f>IF(NOT(Q14="Pick Type"),VLOOKUP(Q14,'LCA Data'!$C$8:$S$107,9,FALSE)*Lists!R14,0)</f>
        <v>3.1470920000000002E-3</v>
      </c>
      <c r="AF14" s="135">
        <f>IF(NOT(Q14="Pick Type"),VLOOKUP(Q14,'LCA Data'!$C$8:$S$107,13,FALSE)*Lists!R14,0)</f>
        <v>2.6863823999999999E-3</v>
      </c>
      <c r="AG14" s="136">
        <f>IF(NOT(Q14="Pick Type"),VLOOKUP(Q14,'LCA Data'!$C$8:$S$107,17,FALSE)*Lists!R14,0)</f>
        <v>4.8568000000000007E-6</v>
      </c>
      <c r="AH14" s="137">
        <f t="shared" si="4"/>
        <v>5.8383312000000005E-3</v>
      </c>
      <c r="AI14" s="126" t="str">
        <f t="shared" si="5"/>
        <v>Concrete Cladding (sf)</v>
      </c>
      <c r="AJ14" s="126"/>
      <c r="AK14" s="138" t="s">
        <v>312</v>
      </c>
      <c r="AL14" s="129">
        <f t="shared" si="6"/>
        <v>221386.45928880002</v>
      </c>
      <c r="AM14" s="126">
        <f t="shared" si="7"/>
        <v>0</v>
      </c>
      <c r="AN14" s="126">
        <f t="shared" si="8"/>
        <v>0</v>
      </c>
      <c r="AO14" s="126">
        <f t="shared" si="9"/>
        <v>0</v>
      </c>
      <c r="AP14" s="126">
        <f t="shared" si="10"/>
        <v>0</v>
      </c>
      <c r="AQ14" s="126">
        <f t="shared" si="11"/>
        <v>0</v>
      </c>
      <c r="AR14" s="126">
        <f t="shared" si="12"/>
        <v>0</v>
      </c>
      <c r="AS14" s="126">
        <f t="shared" si="13"/>
        <v>0</v>
      </c>
      <c r="AT14" s="126">
        <f t="shared" si="14"/>
        <v>0</v>
      </c>
      <c r="AU14" s="126">
        <f t="shared" si="15"/>
        <v>0</v>
      </c>
      <c r="AV14" s="126">
        <f t="shared" si="16"/>
        <v>0</v>
      </c>
      <c r="AW14" s="126">
        <f t="shared" si="17"/>
        <v>0</v>
      </c>
      <c r="AX14" s="126">
        <f t="shared" si="18"/>
        <v>0</v>
      </c>
      <c r="AY14" s="126">
        <f t="shared" si="19"/>
        <v>0</v>
      </c>
      <c r="AZ14" s="126">
        <f t="shared" si="20"/>
        <v>0</v>
      </c>
      <c r="BA14" s="126">
        <f t="shared" si="21"/>
        <v>0</v>
      </c>
      <c r="BB14" s="126">
        <f t="shared" si="22"/>
        <v>0</v>
      </c>
      <c r="BC14" s="126">
        <f t="shared" si="23"/>
        <v>0</v>
      </c>
      <c r="BD14" s="126">
        <f t="shared" si="24"/>
        <v>0</v>
      </c>
      <c r="BE14" s="126">
        <f t="shared" si="25"/>
        <v>0</v>
      </c>
      <c r="BF14" s="126">
        <f t="shared" si="26"/>
        <v>0</v>
      </c>
      <c r="BG14" s="126">
        <f t="shared" si="27"/>
        <v>0</v>
      </c>
      <c r="BH14" s="126">
        <f t="shared" si="28"/>
        <v>0</v>
      </c>
      <c r="BI14" s="126">
        <f t="shared" si="29"/>
        <v>0</v>
      </c>
      <c r="BJ14" s="126">
        <f t="shared" si="30"/>
        <v>0</v>
      </c>
      <c r="BK14" s="126">
        <f t="shared" si="31"/>
        <v>0</v>
      </c>
      <c r="BL14" s="126">
        <f t="shared" si="32"/>
        <v>0</v>
      </c>
      <c r="BM14" s="126">
        <f t="shared" si="33"/>
        <v>0</v>
      </c>
      <c r="BN14" s="126">
        <f t="shared" si="34"/>
        <v>0</v>
      </c>
      <c r="BO14" s="126">
        <f t="shared" si="35"/>
        <v>0</v>
      </c>
      <c r="BP14" s="126">
        <f t="shared" si="36"/>
        <v>0</v>
      </c>
      <c r="BQ14" s="126">
        <f t="shared" si="37"/>
        <v>0</v>
      </c>
      <c r="BR14" s="126">
        <f t="shared" si="38"/>
        <v>0</v>
      </c>
      <c r="BS14" s="126">
        <f t="shared" si="39"/>
        <v>0</v>
      </c>
      <c r="BT14" s="126">
        <f t="shared" si="40"/>
        <v>0</v>
      </c>
      <c r="BU14" s="126">
        <f t="shared" si="41"/>
        <v>0</v>
      </c>
      <c r="BV14" s="126">
        <f t="shared" si="42"/>
        <v>0</v>
      </c>
      <c r="BW14" s="126">
        <f t="shared" si="43"/>
        <v>0</v>
      </c>
      <c r="BX14" s="126">
        <f t="shared" si="44"/>
        <v>0</v>
      </c>
      <c r="BY14" s="126">
        <f t="shared" si="45"/>
        <v>0</v>
      </c>
      <c r="BZ14" s="126">
        <f t="shared" si="46"/>
        <v>0</v>
      </c>
      <c r="CA14" s="126">
        <f t="shared" si="47"/>
        <v>0</v>
      </c>
      <c r="CB14" s="126">
        <f t="shared" si="48"/>
        <v>0</v>
      </c>
      <c r="CC14" s="126">
        <f t="shared" si="49"/>
        <v>0</v>
      </c>
      <c r="CD14" s="126">
        <f t="shared" si="50"/>
        <v>0</v>
      </c>
      <c r="CE14" s="126">
        <f t="shared" si="51"/>
        <v>0</v>
      </c>
      <c r="CF14" s="126">
        <f t="shared" si="52"/>
        <v>0</v>
      </c>
      <c r="CG14" s="126">
        <f t="shared" si="53"/>
        <v>0</v>
      </c>
      <c r="CH14" s="126">
        <f t="shared" si="54"/>
        <v>0</v>
      </c>
      <c r="CI14" s="126">
        <f t="shared" si="55"/>
        <v>0</v>
      </c>
      <c r="CJ14" s="126">
        <f t="shared" si="56"/>
        <v>0</v>
      </c>
      <c r="CK14" s="126"/>
    </row>
    <row r="15" spans="1:89" ht="9.75" customHeight="1">
      <c r="A15" s="126"/>
      <c r="B15" s="126"/>
      <c r="C15" s="126"/>
      <c r="D15" s="126"/>
      <c r="E15" s="126"/>
      <c r="F15" s="126"/>
      <c r="G15" s="126"/>
      <c r="H15" s="126"/>
      <c r="I15" s="126"/>
      <c r="J15" s="126" t="s">
        <v>220</v>
      </c>
      <c r="K15" s="126"/>
      <c r="L15" s="126"/>
      <c r="M15" s="126"/>
      <c r="N15" s="126"/>
      <c r="O15" s="126"/>
      <c r="P15" s="126" t="str">
        <f>'Construction and Materials'!B29</f>
        <v>Columns</v>
      </c>
      <c r="Q15" s="126" t="str">
        <f>'Construction and Materials'!C29</f>
        <v>Glulam Column (kg)</v>
      </c>
      <c r="R15" s="129">
        <f>'Construction and Materials'!D29</f>
        <v>8000</v>
      </c>
      <c r="S15" s="130">
        <f>IF(NOT(Q15="Pick Type"),VLOOKUP(Q15,'LCA Data'!$C$8:$S$107,6,FALSE)*Lists!R15,0)</f>
        <v>2612.3120000000004</v>
      </c>
      <c r="T15" s="131">
        <f>IF(NOT(Q15="Pick Type"),VLOOKUP(Q15,'LCA Data'!$C$8:$S$107,10,FALSE)*Lists!R15,0)</f>
        <v>178.4</v>
      </c>
      <c r="U15" s="132">
        <f>IF(NOT(Q15="Pick Type"),VLOOKUP(Q15,'LCA Data'!$C$8:$S$107,14,FALSE)*Lists!R15,0)</f>
        <v>3160</v>
      </c>
      <c r="V15" s="133">
        <f t="shared" si="1"/>
        <v>5950.7120000000004</v>
      </c>
      <c r="W15" s="130">
        <f>IF(NOT(Q15="Pick Type"),VLOOKUP(Q15,'LCA Data'!$C$8:$S$107,7,FALSE)*Lists!R15,0)</f>
        <v>19722.536</v>
      </c>
      <c r="X15" s="131">
        <f>IF(NOT(Q15="Pick Type"),VLOOKUP(Q15,'LCA Data'!$C$8:$S$107,11,FALSE)*Lists!R15,0)</f>
        <v>2746.5408000000007</v>
      </c>
      <c r="Y15" s="132">
        <f>IF(NOT(Q15="Pick Type"),VLOOKUP(Q15,'LCA Data'!$C$8:$S$107,15,FALSE)*Lists!R15,0)</f>
        <v>44547.552000000003</v>
      </c>
      <c r="Z15" s="133">
        <f t="shared" si="2"/>
        <v>67016.628800000006</v>
      </c>
      <c r="AA15" s="130">
        <f>IF(NOT(Q15="Pick Type"),VLOOKUP(Q15,'LCA Data'!$C$8:$S$107,8,FALSE)*Lists!R15,0)</f>
        <v>593.6</v>
      </c>
      <c r="AB15" s="131">
        <f>IF(NOT(Q15="Pick Type"),VLOOKUP(Q15,'LCA Data'!$C$8:$S$107,12,FALSE)*Lists!R15,0)</f>
        <v>636.80000000000007</v>
      </c>
      <c r="AC15" s="132">
        <f>IF(NOT(Q15="Pick Type"),VLOOKUP(Q15,'LCA Data'!$C$8:$S$107,16,FALSE)*Lists!R15,0)</f>
        <v>47220.405120000003</v>
      </c>
      <c r="AD15" s="133">
        <f t="shared" si="3"/>
        <v>48450.805120000005</v>
      </c>
      <c r="AE15" s="134">
        <f>IF(NOT(Q15="Pick Type"),VLOOKUP(Q15,'LCA Data'!$C$8:$S$107,9,FALSE)*Lists!R15,0)</f>
        <v>3.4614719999999993E-8</v>
      </c>
      <c r="AF15" s="135">
        <f>IF(NOT(Q15="Pick Type"),VLOOKUP(Q15,'LCA Data'!$C$8:$S$107,13,FALSE)*Lists!R15,0)</f>
        <v>2.832E-5</v>
      </c>
      <c r="AG15" s="136">
        <f>IF(NOT(Q15="Pick Type"),VLOOKUP(Q15,'LCA Data'!$C$8:$S$107,17,FALSE)*Lists!R15,0)</f>
        <v>1.2880000000000002E-7</v>
      </c>
      <c r="AH15" s="137">
        <f t="shared" si="4"/>
        <v>2.8483414720000002E-5</v>
      </c>
      <c r="AI15" s="126" t="str">
        <f t="shared" si="5"/>
        <v>Glulam Column (kg)</v>
      </c>
      <c r="AJ15" s="126"/>
      <c r="AK15" s="138" t="s">
        <v>312</v>
      </c>
      <c r="AL15" s="129">
        <f t="shared" si="6"/>
        <v>5950.7120000000004</v>
      </c>
      <c r="AM15" s="126">
        <f t="shared" si="7"/>
        <v>0</v>
      </c>
      <c r="AN15" s="126">
        <f t="shared" si="8"/>
        <v>0</v>
      </c>
      <c r="AO15" s="126">
        <f t="shared" si="9"/>
        <v>0</v>
      </c>
      <c r="AP15" s="126">
        <f t="shared" si="10"/>
        <v>0</v>
      </c>
      <c r="AQ15" s="126">
        <f t="shared" si="11"/>
        <v>0</v>
      </c>
      <c r="AR15" s="126">
        <f t="shared" si="12"/>
        <v>0</v>
      </c>
      <c r="AS15" s="126">
        <f t="shared" si="13"/>
        <v>0</v>
      </c>
      <c r="AT15" s="126">
        <f t="shared" si="14"/>
        <v>0</v>
      </c>
      <c r="AU15" s="126">
        <f t="shared" si="15"/>
        <v>0</v>
      </c>
      <c r="AV15" s="126">
        <f t="shared" si="16"/>
        <v>0</v>
      </c>
      <c r="AW15" s="126">
        <f t="shared" si="17"/>
        <v>0</v>
      </c>
      <c r="AX15" s="126">
        <f t="shared" si="18"/>
        <v>0</v>
      </c>
      <c r="AY15" s="126">
        <f t="shared" si="19"/>
        <v>0</v>
      </c>
      <c r="AZ15" s="126">
        <f t="shared" si="20"/>
        <v>0</v>
      </c>
      <c r="BA15" s="126">
        <f t="shared" si="21"/>
        <v>0</v>
      </c>
      <c r="BB15" s="126">
        <f t="shared" si="22"/>
        <v>0</v>
      </c>
      <c r="BC15" s="126">
        <f t="shared" si="23"/>
        <v>0</v>
      </c>
      <c r="BD15" s="126">
        <f t="shared" si="24"/>
        <v>0</v>
      </c>
      <c r="BE15" s="126">
        <f t="shared" si="25"/>
        <v>0</v>
      </c>
      <c r="BF15" s="126">
        <f t="shared" si="26"/>
        <v>0</v>
      </c>
      <c r="BG15" s="126">
        <f t="shared" si="27"/>
        <v>0</v>
      </c>
      <c r="BH15" s="126">
        <f t="shared" si="28"/>
        <v>0</v>
      </c>
      <c r="BI15" s="126">
        <f t="shared" si="29"/>
        <v>0</v>
      </c>
      <c r="BJ15" s="126">
        <f t="shared" si="30"/>
        <v>0</v>
      </c>
      <c r="BK15" s="126">
        <f t="shared" si="31"/>
        <v>0</v>
      </c>
      <c r="BL15" s="126">
        <f t="shared" si="32"/>
        <v>0</v>
      </c>
      <c r="BM15" s="126">
        <f t="shared" si="33"/>
        <v>0</v>
      </c>
      <c r="BN15" s="126">
        <f t="shared" si="34"/>
        <v>0</v>
      </c>
      <c r="BO15" s="126">
        <f t="shared" si="35"/>
        <v>0</v>
      </c>
      <c r="BP15" s="126">
        <f t="shared" si="36"/>
        <v>0</v>
      </c>
      <c r="BQ15" s="126">
        <f t="shared" si="37"/>
        <v>0</v>
      </c>
      <c r="BR15" s="126">
        <f t="shared" si="38"/>
        <v>0</v>
      </c>
      <c r="BS15" s="126">
        <f t="shared" si="39"/>
        <v>0</v>
      </c>
      <c r="BT15" s="126">
        <f t="shared" si="40"/>
        <v>0</v>
      </c>
      <c r="BU15" s="126">
        <f t="shared" si="41"/>
        <v>0</v>
      </c>
      <c r="BV15" s="126">
        <f t="shared" si="42"/>
        <v>0</v>
      </c>
      <c r="BW15" s="126">
        <f t="shared" si="43"/>
        <v>0</v>
      </c>
      <c r="BX15" s="126">
        <f t="shared" si="44"/>
        <v>0</v>
      </c>
      <c r="BY15" s="126">
        <f t="shared" si="45"/>
        <v>0</v>
      </c>
      <c r="BZ15" s="126">
        <f t="shared" si="46"/>
        <v>0</v>
      </c>
      <c r="CA15" s="126">
        <f t="shared" si="47"/>
        <v>0</v>
      </c>
      <c r="CB15" s="126">
        <f t="shared" si="48"/>
        <v>0</v>
      </c>
      <c r="CC15" s="126">
        <f t="shared" si="49"/>
        <v>0</v>
      </c>
      <c r="CD15" s="126">
        <f t="shared" si="50"/>
        <v>0</v>
      </c>
      <c r="CE15" s="126">
        <f t="shared" si="51"/>
        <v>0</v>
      </c>
      <c r="CF15" s="126">
        <f t="shared" si="52"/>
        <v>0</v>
      </c>
      <c r="CG15" s="126">
        <f t="shared" si="53"/>
        <v>0</v>
      </c>
      <c r="CH15" s="126">
        <f t="shared" si="54"/>
        <v>0</v>
      </c>
      <c r="CI15" s="126">
        <f t="shared" si="55"/>
        <v>0</v>
      </c>
      <c r="CJ15" s="126">
        <f t="shared" si="56"/>
        <v>0</v>
      </c>
      <c r="CK15" s="126"/>
    </row>
    <row r="16" spans="1:89" ht="9.75" customHeight="1">
      <c r="A16" s="126"/>
      <c r="B16" s="126"/>
      <c r="C16" s="126"/>
      <c r="D16" s="126"/>
      <c r="E16" s="126"/>
      <c r="F16" s="126"/>
      <c r="G16" s="126"/>
      <c r="H16" s="126"/>
      <c r="I16" s="126"/>
      <c r="J16" s="126" t="s">
        <v>221</v>
      </c>
      <c r="K16" s="126"/>
      <c r="L16" s="126"/>
      <c r="M16" s="126"/>
      <c r="N16" s="126"/>
      <c r="O16" s="126"/>
      <c r="P16" s="126" t="str">
        <f>'Construction and Materials'!B30</f>
        <v>Pick Assembly</v>
      </c>
      <c r="Q16" s="126" t="str">
        <f>'Construction and Materials'!C30</f>
        <v>Pick Type</v>
      </c>
      <c r="R16" s="129">
        <f>'Construction and Materials'!D30</f>
        <v>0</v>
      </c>
      <c r="S16" s="130">
        <f>IF(NOT(Q16="Pick Type"),VLOOKUP(Q16,'LCA Data'!$C$8:$S$107,6,FALSE)*Lists!R16,0)</f>
        <v>0</v>
      </c>
      <c r="T16" s="131">
        <f>IF(NOT(Q16="Pick Type"),VLOOKUP(Q16,'LCA Data'!$C$8:$S$107,10,FALSE)*Lists!R16,0)</f>
        <v>0</v>
      </c>
      <c r="U16" s="132">
        <f>IF(NOT(Q16="Pick Type"),VLOOKUP(Q16,'LCA Data'!$C$8:$S$107,14,FALSE)*Lists!R16,0)</f>
        <v>0</v>
      </c>
      <c r="V16" s="133">
        <f t="shared" si="1"/>
        <v>0</v>
      </c>
      <c r="W16" s="130">
        <f>IF(NOT(Q16="Pick Type"),VLOOKUP(Q16,'LCA Data'!$C$8:$S$107,7,FALSE)*Lists!R16,0)</f>
        <v>0</v>
      </c>
      <c r="X16" s="131">
        <f>IF(NOT(Q16="Pick Type"),VLOOKUP(Q16,'LCA Data'!$C$8:$S$107,11,FALSE)*Lists!R16,0)</f>
        <v>0</v>
      </c>
      <c r="Y16" s="132">
        <f>IF(NOT(Q16="Pick Type"),VLOOKUP(Q16,'LCA Data'!$C$8:$S$107,15,FALSE)*Lists!R16,0)</f>
        <v>0</v>
      </c>
      <c r="Z16" s="133">
        <f t="shared" si="2"/>
        <v>0</v>
      </c>
      <c r="AA16" s="130">
        <f>IF(NOT(Q16="Pick Type"),VLOOKUP(Q16,'LCA Data'!$C$8:$S$107,8,FALSE)*Lists!R16,0)</f>
        <v>0</v>
      </c>
      <c r="AB16" s="131">
        <f>IF(NOT(Q16="Pick Type"),VLOOKUP(Q16,'LCA Data'!$C$8:$S$107,12,FALSE)*Lists!R16,0)</f>
        <v>0</v>
      </c>
      <c r="AC16" s="132">
        <f>IF(NOT(Q16="Pick Type"),VLOOKUP(Q16,'LCA Data'!$C$8:$S$107,16,FALSE)*Lists!R16,0)</f>
        <v>0</v>
      </c>
      <c r="AD16" s="133">
        <f t="shared" si="3"/>
        <v>0</v>
      </c>
      <c r="AE16" s="134">
        <f>IF(NOT(Q16="Pick Type"),VLOOKUP(Q16,'LCA Data'!$C$8:$S$107,9,FALSE)*Lists!R16,0)</f>
        <v>0</v>
      </c>
      <c r="AF16" s="135">
        <f>IF(NOT(Q16="Pick Type"),VLOOKUP(Q16,'LCA Data'!$C$8:$S$107,13,FALSE)*Lists!R16,0)</f>
        <v>0</v>
      </c>
      <c r="AG16" s="136">
        <f>IF(NOT(Q16="Pick Type"),VLOOKUP(Q16,'LCA Data'!$C$8:$S$107,17,FALSE)*Lists!R16,0)</f>
        <v>0</v>
      </c>
      <c r="AH16" s="137">
        <f t="shared" si="4"/>
        <v>0</v>
      </c>
      <c r="AI16" s="126" t="e">
        <f t="shared" si="5"/>
        <v>#N/A</v>
      </c>
      <c r="AJ16" s="126"/>
      <c r="AK16" s="138" t="s">
        <v>312</v>
      </c>
      <c r="AL16" s="129">
        <f t="shared" si="6"/>
        <v>0</v>
      </c>
      <c r="AM16" s="126">
        <f t="shared" si="7"/>
        <v>0</v>
      </c>
      <c r="AN16" s="126">
        <f t="shared" si="8"/>
        <v>0</v>
      </c>
      <c r="AO16" s="126">
        <f t="shared" si="9"/>
        <v>0</v>
      </c>
      <c r="AP16" s="126">
        <f t="shared" si="10"/>
        <v>0</v>
      </c>
      <c r="AQ16" s="126">
        <f t="shared" si="11"/>
        <v>0</v>
      </c>
      <c r="AR16" s="126">
        <f t="shared" si="12"/>
        <v>0</v>
      </c>
      <c r="AS16" s="126">
        <f t="shared" si="13"/>
        <v>0</v>
      </c>
      <c r="AT16" s="126">
        <f t="shared" si="14"/>
        <v>0</v>
      </c>
      <c r="AU16" s="126">
        <f t="shared" si="15"/>
        <v>0</v>
      </c>
      <c r="AV16" s="126">
        <f t="shared" si="16"/>
        <v>0</v>
      </c>
      <c r="AW16" s="126">
        <f t="shared" si="17"/>
        <v>0</v>
      </c>
      <c r="AX16" s="126">
        <f t="shared" si="18"/>
        <v>0</v>
      </c>
      <c r="AY16" s="126">
        <f t="shared" si="19"/>
        <v>0</v>
      </c>
      <c r="AZ16" s="126">
        <f t="shared" si="20"/>
        <v>0</v>
      </c>
      <c r="BA16" s="126">
        <f t="shared" si="21"/>
        <v>0</v>
      </c>
      <c r="BB16" s="126">
        <f t="shared" si="22"/>
        <v>0</v>
      </c>
      <c r="BC16" s="126">
        <f t="shared" si="23"/>
        <v>0</v>
      </c>
      <c r="BD16" s="126">
        <f t="shared" si="24"/>
        <v>0</v>
      </c>
      <c r="BE16" s="126">
        <f t="shared" si="25"/>
        <v>0</v>
      </c>
      <c r="BF16" s="126">
        <f t="shared" si="26"/>
        <v>0</v>
      </c>
      <c r="BG16" s="126">
        <f t="shared" si="27"/>
        <v>0</v>
      </c>
      <c r="BH16" s="126">
        <f t="shared" si="28"/>
        <v>0</v>
      </c>
      <c r="BI16" s="126">
        <f t="shared" si="29"/>
        <v>0</v>
      </c>
      <c r="BJ16" s="126">
        <f t="shared" si="30"/>
        <v>0</v>
      </c>
      <c r="BK16" s="126">
        <f t="shared" si="31"/>
        <v>0</v>
      </c>
      <c r="BL16" s="126">
        <f t="shared" si="32"/>
        <v>0</v>
      </c>
      <c r="BM16" s="126">
        <f t="shared" si="33"/>
        <v>0</v>
      </c>
      <c r="BN16" s="126">
        <f t="shared" si="34"/>
        <v>0</v>
      </c>
      <c r="BO16" s="126">
        <f t="shared" si="35"/>
        <v>0</v>
      </c>
      <c r="BP16" s="126">
        <f t="shared" si="36"/>
        <v>0</v>
      </c>
      <c r="BQ16" s="126">
        <f t="shared" si="37"/>
        <v>0</v>
      </c>
      <c r="BR16" s="126">
        <f t="shared" si="38"/>
        <v>0</v>
      </c>
      <c r="BS16" s="126">
        <f t="shared" si="39"/>
        <v>0</v>
      </c>
      <c r="BT16" s="126">
        <f t="shared" si="40"/>
        <v>0</v>
      </c>
      <c r="BU16" s="126">
        <f t="shared" si="41"/>
        <v>0</v>
      </c>
      <c r="BV16" s="126">
        <f t="shared" si="42"/>
        <v>0</v>
      </c>
      <c r="BW16" s="126">
        <f t="shared" si="43"/>
        <v>0</v>
      </c>
      <c r="BX16" s="126">
        <f t="shared" si="44"/>
        <v>0</v>
      </c>
      <c r="BY16" s="126">
        <f t="shared" si="45"/>
        <v>0</v>
      </c>
      <c r="BZ16" s="126">
        <f t="shared" si="46"/>
        <v>0</v>
      </c>
      <c r="CA16" s="126">
        <f t="shared" si="47"/>
        <v>0</v>
      </c>
      <c r="CB16" s="126">
        <f t="shared" si="48"/>
        <v>0</v>
      </c>
      <c r="CC16" s="126">
        <f t="shared" si="49"/>
        <v>0</v>
      </c>
      <c r="CD16" s="126">
        <f t="shared" si="50"/>
        <v>0</v>
      </c>
      <c r="CE16" s="126">
        <f t="shared" si="51"/>
        <v>0</v>
      </c>
      <c r="CF16" s="126">
        <f t="shared" si="52"/>
        <v>0</v>
      </c>
      <c r="CG16" s="126">
        <f t="shared" si="53"/>
        <v>0</v>
      </c>
      <c r="CH16" s="126">
        <f t="shared" si="54"/>
        <v>0</v>
      </c>
      <c r="CI16" s="126">
        <f t="shared" si="55"/>
        <v>0</v>
      </c>
      <c r="CJ16" s="126">
        <f t="shared" si="56"/>
        <v>0</v>
      </c>
      <c r="CK16" s="126"/>
    </row>
    <row r="17" spans="1:89" ht="9.75" customHeight="1">
      <c r="A17" s="126"/>
      <c r="B17" s="126"/>
      <c r="C17" s="126"/>
      <c r="D17" s="126"/>
      <c r="E17" s="126"/>
      <c r="F17" s="126"/>
      <c r="G17" s="126"/>
      <c r="H17" s="126"/>
      <c r="I17" s="126"/>
      <c r="J17" s="126" t="s">
        <v>208</v>
      </c>
      <c r="K17" s="126"/>
      <c r="L17" s="126"/>
      <c r="M17" s="126"/>
      <c r="N17" s="126"/>
      <c r="O17" s="126"/>
      <c r="P17" s="126" t="str">
        <f>'Construction and Materials'!B31</f>
        <v>Pick Assembly</v>
      </c>
      <c r="Q17" s="126" t="str">
        <f>'Construction and Materials'!C31</f>
        <v>Pick Type</v>
      </c>
      <c r="R17" s="129">
        <f>'Construction and Materials'!D31</f>
        <v>0</v>
      </c>
      <c r="S17" s="130">
        <f>IF(NOT(Q17="Pick Type"),VLOOKUP(Q17,'LCA Data'!$C$8:$S$107,6,FALSE)*Lists!R17,0)</f>
        <v>0</v>
      </c>
      <c r="T17" s="131">
        <f>IF(NOT(Q17="Pick Type"),VLOOKUP(Q17,'LCA Data'!$C$8:$S$107,10,FALSE)*Lists!R17,0)</f>
        <v>0</v>
      </c>
      <c r="U17" s="132">
        <f>IF(NOT(Q17="Pick Type"),VLOOKUP(Q17,'LCA Data'!$C$8:$S$107,14,FALSE)*Lists!R17,0)</f>
        <v>0</v>
      </c>
      <c r="V17" s="133">
        <f t="shared" si="1"/>
        <v>0</v>
      </c>
      <c r="W17" s="130">
        <f>IF(NOT(Q17="Pick Type"),VLOOKUP(Q17,'LCA Data'!$C$8:$S$107,7,FALSE)*Lists!R17,0)</f>
        <v>0</v>
      </c>
      <c r="X17" s="131">
        <f>IF(NOT(Q17="Pick Type"),VLOOKUP(Q17,'LCA Data'!$C$8:$S$107,11,FALSE)*Lists!R17,0)</f>
        <v>0</v>
      </c>
      <c r="Y17" s="132">
        <f>IF(NOT(Q17="Pick Type"),VLOOKUP(Q17,'LCA Data'!$C$8:$S$107,15,FALSE)*Lists!R17,0)</f>
        <v>0</v>
      </c>
      <c r="Z17" s="133">
        <f t="shared" si="2"/>
        <v>0</v>
      </c>
      <c r="AA17" s="130">
        <f>IF(NOT(Q17="Pick Type"),VLOOKUP(Q17,'LCA Data'!$C$8:$S$107,8,FALSE)*Lists!R17,0)</f>
        <v>0</v>
      </c>
      <c r="AB17" s="131">
        <f>IF(NOT(Q17="Pick Type"),VLOOKUP(Q17,'LCA Data'!$C$8:$S$107,12,FALSE)*Lists!R17,0)</f>
        <v>0</v>
      </c>
      <c r="AC17" s="132">
        <f>IF(NOT(Q17="Pick Type"),VLOOKUP(Q17,'LCA Data'!$C$8:$S$107,16,FALSE)*Lists!R17,0)</f>
        <v>0</v>
      </c>
      <c r="AD17" s="133">
        <f t="shared" si="3"/>
        <v>0</v>
      </c>
      <c r="AE17" s="134">
        <f>IF(NOT(Q17="Pick Type"),VLOOKUP(Q17,'LCA Data'!$C$8:$S$107,9,FALSE)*Lists!R17,0)</f>
        <v>0</v>
      </c>
      <c r="AF17" s="135">
        <f>IF(NOT(Q17="Pick Type"),VLOOKUP(Q17,'LCA Data'!$C$8:$S$107,13,FALSE)*Lists!R17,0)</f>
        <v>0</v>
      </c>
      <c r="AG17" s="136">
        <f>IF(NOT(Q17="Pick Type"),VLOOKUP(Q17,'LCA Data'!$C$8:$S$107,17,FALSE)*Lists!R17,0)</f>
        <v>0</v>
      </c>
      <c r="AH17" s="137">
        <f t="shared" si="4"/>
        <v>0</v>
      </c>
      <c r="AI17" s="126" t="e">
        <f t="shared" si="5"/>
        <v>#N/A</v>
      </c>
      <c r="AJ17" s="126"/>
      <c r="AK17" s="138" t="s">
        <v>312</v>
      </c>
      <c r="AL17" s="129">
        <f t="shared" si="6"/>
        <v>0</v>
      </c>
      <c r="AM17" s="126">
        <f t="shared" si="7"/>
        <v>0</v>
      </c>
      <c r="AN17" s="126">
        <f t="shared" si="8"/>
        <v>0</v>
      </c>
      <c r="AO17" s="126">
        <f t="shared" si="9"/>
        <v>0</v>
      </c>
      <c r="AP17" s="126">
        <f t="shared" si="10"/>
        <v>0</v>
      </c>
      <c r="AQ17" s="126">
        <f t="shared" si="11"/>
        <v>0</v>
      </c>
      <c r="AR17" s="126">
        <f t="shared" si="12"/>
        <v>0</v>
      </c>
      <c r="AS17" s="126">
        <f t="shared" si="13"/>
        <v>0</v>
      </c>
      <c r="AT17" s="126">
        <f t="shared" si="14"/>
        <v>0</v>
      </c>
      <c r="AU17" s="126">
        <f t="shared" si="15"/>
        <v>0</v>
      </c>
      <c r="AV17" s="126">
        <f t="shared" si="16"/>
        <v>0</v>
      </c>
      <c r="AW17" s="126">
        <f t="shared" si="17"/>
        <v>0</v>
      </c>
      <c r="AX17" s="126">
        <f t="shared" si="18"/>
        <v>0</v>
      </c>
      <c r="AY17" s="126">
        <f t="shared" si="19"/>
        <v>0</v>
      </c>
      <c r="AZ17" s="126">
        <f t="shared" si="20"/>
        <v>0</v>
      </c>
      <c r="BA17" s="126">
        <f t="shared" si="21"/>
        <v>0</v>
      </c>
      <c r="BB17" s="126">
        <f t="shared" si="22"/>
        <v>0</v>
      </c>
      <c r="BC17" s="126">
        <f t="shared" si="23"/>
        <v>0</v>
      </c>
      <c r="BD17" s="126">
        <f t="shared" si="24"/>
        <v>0</v>
      </c>
      <c r="BE17" s="126">
        <f t="shared" si="25"/>
        <v>0</v>
      </c>
      <c r="BF17" s="126">
        <f t="shared" si="26"/>
        <v>0</v>
      </c>
      <c r="BG17" s="126">
        <f t="shared" si="27"/>
        <v>0</v>
      </c>
      <c r="BH17" s="126">
        <f t="shared" si="28"/>
        <v>0</v>
      </c>
      <c r="BI17" s="126">
        <f t="shared" si="29"/>
        <v>0</v>
      </c>
      <c r="BJ17" s="126">
        <f t="shared" si="30"/>
        <v>0</v>
      </c>
      <c r="BK17" s="126">
        <f t="shared" si="31"/>
        <v>0</v>
      </c>
      <c r="BL17" s="126">
        <f t="shared" si="32"/>
        <v>0</v>
      </c>
      <c r="BM17" s="126">
        <f t="shared" si="33"/>
        <v>0</v>
      </c>
      <c r="BN17" s="126">
        <f t="shared" si="34"/>
        <v>0</v>
      </c>
      <c r="BO17" s="126">
        <f t="shared" si="35"/>
        <v>0</v>
      </c>
      <c r="BP17" s="126">
        <f t="shared" si="36"/>
        <v>0</v>
      </c>
      <c r="BQ17" s="126">
        <f t="shared" si="37"/>
        <v>0</v>
      </c>
      <c r="BR17" s="126">
        <f t="shared" si="38"/>
        <v>0</v>
      </c>
      <c r="BS17" s="126">
        <f t="shared" si="39"/>
        <v>0</v>
      </c>
      <c r="BT17" s="126">
        <f t="shared" si="40"/>
        <v>0</v>
      </c>
      <c r="BU17" s="126">
        <f t="shared" si="41"/>
        <v>0</v>
      </c>
      <c r="BV17" s="126">
        <f t="shared" si="42"/>
        <v>0</v>
      </c>
      <c r="BW17" s="126">
        <f t="shared" si="43"/>
        <v>0</v>
      </c>
      <c r="BX17" s="126">
        <f t="shared" si="44"/>
        <v>0</v>
      </c>
      <c r="BY17" s="126">
        <f t="shared" si="45"/>
        <v>0</v>
      </c>
      <c r="BZ17" s="126">
        <f t="shared" si="46"/>
        <v>0</v>
      </c>
      <c r="CA17" s="126">
        <f t="shared" si="47"/>
        <v>0</v>
      </c>
      <c r="CB17" s="126">
        <f t="shared" si="48"/>
        <v>0</v>
      </c>
      <c r="CC17" s="126">
        <f t="shared" si="49"/>
        <v>0</v>
      </c>
      <c r="CD17" s="126">
        <f t="shared" si="50"/>
        <v>0</v>
      </c>
      <c r="CE17" s="126">
        <f t="shared" si="51"/>
        <v>0</v>
      </c>
      <c r="CF17" s="126">
        <f t="shared" si="52"/>
        <v>0</v>
      </c>
      <c r="CG17" s="126">
        <f t="shared" si="53"/>
        <v>0</v>
      </c>
      <c r="CH17" s="126">
        <f t="shared" si="54"/>
        <v>0</v>
      </c>
      <c r="CI17" s="126">
        <f t="shared" si="55"/>
        <v>0</v>
      </c>
      <c r="CJ17" s="126">
        <f t="shared" si="56"/>
        <v>0</v>
      </c>
      <c r="CK17" s="126"/>
    </row>
    <row r="18" spans="1:89" ht="9.75" customHeight="1">
      <c r="A18" s="126"/>
      <c r="B18" s="126"/>
      <c r="C18" s="126"/>
      <c r="D18" s="126"/>
      <c r="E18" s="126"/>
      <c r="F18" s="126"/>
      <c r="G18" s="126"/>
      <c r="H18" s="126"/>
      <c r="I18" s="126"/>
      <c r="J18" s="126" t="s">
        <v>217</v>
      </c>
      <c r="K18" s="126"/>
      <c r="L18" s="126"/>
      <c r="M18" s="126"/>
      <c r="N18" s="126"/>
      <c r="O18" s="126"/>
      <c r="P18" s="126" t="str">
        <f>'Construction and Materials'!B32</f>
        <v>Pick Assembly</v>
      </c>
      <c r="Q18" s="126" t="str">
        <f>'Construction and Materials'!C32</f>
        <v>Pick Type</v>
      </c>
      <c r="R18" s="129">
        <f>'Construction and Materials'!D32</f>
        <v>0</v>
      </c>
      <c r="S18" s="130">
        <f>IF(NOT(Q18="Pick Type"),VLOOKUP(Q18,'LCA Data'!$C$8:$S$107,6,FALSE)*Lists!R18,0)</f>
        <v>0</v>
      </c>
      <c r="T18" s="131">
        <f>IF(NOT(Q18="Pick Type"),VLOOKUP(Q18,'LCA Data'!$C$8:$S$107,10,FALSE)*Lists!R18,0)</f>
        <v>0</v>
      </c>
      <c r="U18" s="132">
        <f>IF(NOT(Q18="Pick Type"),VLOOKUP(Q18,'LCA Data'!$C$8:$S$107,14,FALSE)*Lists!R18,0)</f>
        <v>0</v>
      </c>
      <c r="V18" s="133">
        <f t="shared" si="1"/>
        <v>0</v>
      </c>
      <c r="W18" s="130">
        <f>IF(NOT(Q18="Pick Type"),VLOOKUP(Q18,'LCA Data'!$C$8:$S$107,7,FALSE)*Lists!R18,0)</f>
        <v>0</v>
      </c>
      <c r="X18" s="131">
        <f>IF(NOT(Q18="Pick Type"),VLOOKUP(Q18,'LCA Data'!$C$8:$S$107,11,FALSE)*Lists!R18,0)</f>
        <v>0</v>
      </c>
      <c r="Y18" s="132">
        <f>IF(NOT(Q18="Pick Type"),VLOOKUP(Q18,'LCA Data'!$C$8:$S$107,15,FALSE)*Lists!R18,0)</f>
        <v>0</v>
      </c>
      <c r="Z18" s="133">
        <f t="shared" si="2"/>
        <v>0</v>
      </c>
      <c r="AA18" s="130">
        <f>IF(NOT(Q18="Pick Type"),VLOOKUP(Q18,'LCA Data'!$C$8:$S$107,8,FALSE)*Lists!R18,0)</f>
        <v>0</v>
      </c>
      <c r="AB18" s="131">
        <f>IF(NOT(Q18="Pick Type"),VLOOKUP(Q18,'LCA Data'!$C$8:$S$107,12,FALSE)*Lists!R18,0)</f>
        <v>0</v>
      </c>
      <c r="AC18" s="132">
        <f>IF(NOT(Q18="Pick Type"),VLOOKUP(Q18,'LCA Data'!$C$8:$S$107,16,FALSE)*Lists!R18,0)</f>
        <v>0</v>
      </c>
      <c r="AD18" s="133">
        <f t="shared" si="3"/>
        <v>0</v>
      </c>
      <c r="AE18" s="134">
        <f>IF(NOT(Q18="Pick Type"),VLOOKUP(Q18,'LCA Data'!$C$8:$S$107,9,FALSE)*Lists!R18,0)</f>
        <v>0</v>
      </c>
      <c r="AF18" s="135">
        <f>IF(NOT(Q18="Pick Type"),VLOOKUP(Q18,'LCA Data'!$C$8:$S$107,13,FALSE)*Lists!R18,0)</f>
        <v>0</v>
      </c>
      <c r="AG18" s="136">
        <f>IF(NOT(Q18="Pick Type"),VLOOKUP(Q18,'LCA Data'!$C$8:$S$107,17,FALSE)*Lists!R18,0)</f>
        <v>0</v>
      </c>
      <c r="AH18" s="137">
        <f t="shared" si="4"/>
        <v>0</v>
      </c>
      <c r="AI18" s="126" t="e">
        <f t="shared" si="5"/>
        <v>#N/A</v>
      </c>
      <c r="AJ18" s="126"/>
      <c r="AK18" s="138" t="s">
        <v>312</v>
      </c>
      <c r="AL18" s="129">
        <f t="shared" si="6"/>
        <v>0</v>
      </c>
      <c r="AM18" s="126">
        <f t="shared" si="7"/>
        <v>0</v>
      </c>
      <c r="AN18" s="126">
        <f t="shared" si="8"/>
        <v>0</v>
      </c>
      <c r="AO18" s="126">
        <f t="shared" si="9"/>
        <v>0</v>
      </c>
      <c r="AP18" s="126">
        <f t="shared" si="10"/>
        <v>0</v>
      </c>
      <c r="AQ18" s="126">
        <f t="shared" si="11"/>
        <v>0</v>
      </c>
      <c r="AR18" s="126">
        <f t="shared" si="12"/>
        <v>0</v>
      </c>
      <c r="AS18" s="126">
        <f t="shared" si="13"/>
        <v>0</v>
      </c>
      <c r="AT18" s="126">
        <f t="shared" si="14"/>
        <v>0</v>
      </c>
      <c r="AU18" s="126">
        <f t="shared" si="15"/>
        <v>0</v>
      </c>
      <c r="AV18" s="126">
        <f t="shared" si="16"/>
        <v>0</v>
      </c>
      <c r="AW18" s="126">
        <f t="shared" si="17"/>
        <v>0</v>
      </c>
      <c r="AX18" s="126">
        <f t="shared" si="18"/>
        <v>0</v>
      </c>
      <c r="AY18" s="126">
        <f t="shared" si="19"/>
        <v>0</v>
      </c>
      <c r="AZ18" s="126">
        <f t="shared" si="20"/>
        <v>0</v>
      </c>
      <c r="BA18" s="126">
        <f t="shared" si="21"/>
        <v>0</v>
      </c>
      <c r="BB18" s="126">
        <f t="shared" si="22"/>
        <v>0</v>
      </c>
      <c r="BC18" s="126">
        <f t="shared" si="23"/>
        <v>0</v>
      </c>
      <c r="BD18" s="126">
        <f t="shared" si="24"/>
        <v>0</v>
      </c>
      <c r="BE18" s="126">
        <f t="shared" si="25"/>
        <v>0</v>
      </c>
      <c r="BF18" s="126">
        <f t="shared" si="26"/>
        <v>0</v>
      </c>
      <c r="BG18" s="126">
        <f t="shared" si="27"/>
        <v>0</v>
      </c>
      <c r="BH18" s="126">
        <f t="shared" si="28"/>
        <v>0</v>
      </c>
      <c r="BI18" s="126">
        <f t="shared" si="29"/>
        <v>0</v>
      </c>
      <c r="BJ18" s="126">
        <f t="shared" si="30"/>
        <v>0</v>
      </c>
      <c r="BK18" s="126">
        <f t="shared" si="31"/>
        <v>0</v>
      </c>
      <c r="BL18" s="126">
        <f t="shared" si="32"/>
        <v>0</v>
      </c>
      <c r="BM18" s="126">
        <f t="shared" si="33"/>
        <v>0</v>
      </c>
      <c r="BN18" s="126">
        <f t="shared" si="34"/>
        <v>0</v>
      </c>
      <c r="BO18" s="126">
        <f t="shared" si="35"/>
        <v>0</v>
      </c>
      <c r="BP18" s="126">
        <f t="shared" si="36"/>
        <v>0</v>
      </c>
      <c r="BQ18" s="126">
        <f t="shared" si="37"/>
        <v>0</v>
      </c>
      <c r="BR18" s="126">
        <f t="shared" si="38"/>
        <v>0</v>
      </c>
      <c r="BS18" s="126">
        <f t="shared" si="39"/>
        <v>0</v>
      </c>
      <c r="BT18" s="126">
        <f t="shared" si="40"/>
        <v>0</v>
      </c>
      <c r="BU18" s="126">
        <f t="shared" si="41"/>
        <v>0</v>
      </c>
      <c r="BV18" s="126">
        <f t="shared" si="42"/>
        <v>0</v>
      </c>
      <c r="BW18" s="126">
        <f t="shared" si="43"/>
        <v>0</v>
      </c>
      <c r="BX18" s="126">
        <f t="shared" si="44"/>
        <v>0</v>
      </c>
      <c r="BY18" s="126">
        <f t="shared" si="45"/>
        <v>0</v>
      </c>
      <c r="BZ18" s="126">
        <f t="shared" si="46"/>
        <v>0</v>
      </c>
      <c r="CA18" s="126">
        <f t="shared" si="47"/>
        <v>0</v>
      </c>
      <c r="CB18" s="126">
        <f t="shared" si="48"/>
        <v>0</v>
      </c>
      <c r="CC18" s="126">
        <f t="shared" si="49"/>
        <v>0</v>
      </c>
      <c r="CD18" s="126">
        <f t="shared" si="50"/>
        <v>0</v>
      </c>
      <c r="CE18" s="126">
        <f t="shared" si="51"/>
        <v>0</v>
      </c>
      <c r="CF18" s="126">
        <f t="shared" si="52"/>
        <v>0</v>
      </c>
      <c r="CG18" s="126">
        <f t="shared" si="53"/>
        <v>0</v>
      </c>
      <c r="CH18" s="126">
        <f t="shared" si="54"/>
        <v>0</v>
      </c>
      <c r="CI18" s="126">
        <f t="shared" si="55"/>
        <v>0</v>
      </c>
      <c r="CJ18" s="126">
        <f t="shared" si="56"/>
        <v>0</v>
      </c>
      <c r="CK18" s="126"/>
    </row>
    <row r="19" spans="1:89" ht="9.75" customHeight="1">
      <c r="A19" s="126"/>
      <c r="B19" s="126"/>
      <c r="C19" s="126"/>
      <c r="D19" s="126"/>
      <c r="E19" s="126"/>
      <c r="F19" s="126"/>
      <c r="G19" s="126"/>
      <c r="H19" s="126"/>
      <c r="I19" s="126"/>
      <c r="J19" s="126" t="s">
        <v>218</v>
      </c>
      <c r="K19" s="126" t="s">
        <v>240</v>
      </c>
      <c r="L19" s="126"/>
      <c r="M19" s="126"/>
      <c r="N19" s="126"/>
      <c r="O19" s="126"/>
      <c r="P19" s="126" t="str">
        <f>'Construction and Materials'!B33</f>
        <v>Pick Assembly</v>
      </c>
      <c r="Q19" s="126" t="str">
        <f>'Construction and Materials'!C33</f>
        <v>Pick Type</v>
      </c>
      <c r="R19" s="129">
        <f>'Construction and Materials'!D33</f>
        <v>0</v>
      </c>
      <c r="S19" s="130">
        <f>IF(NOT(Q19="Pick Type"),VLOOKUP(Q19,'LCA Data'!$C$8:$S$107,6,FALSE)*Lists!R19,0)</f>
        <v>0</v>
      </c>
      <c r="T19" s="131">
        <f>IF(NOT(Q19="Pick Type"),VLOOKUP(Q19,'LCA Data'!$C$8:$S$107,10,FALSE)*Lists!R19,0)</f>
        <v>0</v>
      </c>
      <c r="U19" s="132">
        <f>IF(NOT(Q19="Pick Type"),VLOOKUP(Q19,'LCA Data'!$C$8:$S$107,14,FALSE)*Lists!R19,0)</f>
        <v>0</v>
      </c>
      <c r="V19" s="133">
        <f t="shared" si="1"/>
        <v>0</v>
      </c>
      <c r="W19" s="130">
        <f>IF(NOT(Q19="Pick Type"),VLOOKUP(Q19,'LCA Data'!$C$8:$S$107,7,FALSE)*Lists!R19,0)</f>
        <v>0</v>
      </c>
      <c r="X19" s="131">
        <f>IF(NOT(Q19="Pick Type"),VLOOKUP(Q19,'LCA Data'!$C$8:$S$107,11,FALSE)*Lists!R19,0)</f>
        <v>0</v>
      </c>
      <c r="Y19" s="132">
        <f>IF(NOT(Q19="Pick Type"),VLOOKUP(Q19,'LCA Data'!$C$8:$S$107,15,FALSE)*Lists!R19,0)</f>
        <v>0</v>
      </c>
      <c r="Z19" s="133">
        <f t="shared" si="2"/>
        <v>0</v>
      </c>
      <c r="AA19" s="130">
        <f>IF(NOT(Q19="Pick Type"),VLOOKUP(Q19,'LCA Data'!$C$8:$S$107,8,FALSE)*Lists!R19,0)</f>
        <v>0</v>
      </c>
      <c r="AB19" s="131">
        <f>IF(NOT(Q19="Pick Type"),VLOOKUP(Q19,'LCA Data'!$C$8:$S$107,12,FALSE)*Lists!R19,0)</f>
        <v>0</v>
      </c>
      <c r="AC19" s="132">
        <f>IF(NOT(Q19="Pick Type"),VLOOKUP(Q19,'LCA Data'!$C$8:$S$107,16,FALSE)*Lists!R19,0)</f>
        <v>0</v>
      </c>
      <c r="AD19" s="133">
        <f t="shared" si="3"/>
        <v>0</v>
      </c>
      <c r="AE19" s="134">
        <f>IF(NOT(Q19="Pick Type"),VLOOKUP(Q19,'LCA Data'!$C$8:$S$107,9,FALSE)*Lists!R19,0)</f>
        <v>0</v>
      </c>
      <c r="AF19" s="135">
        <f>IF(NOT(Q19="Pick Type"),VLOOKUP(Q19,'LCA Data'!$C$8:$S$107,13,FALSE)*Lists!R19,0)</f>
        <v>0</v>
      </c>
      <c r="AG19" s="136">
        <f>IF(NOT(Q19="Pick Type"),VLOOKUP(Q19,'LCA Data'!$C$8:$S$107,17,FALSE)*Lists!R19,0)</f>
        <v>0</v>
      </c>
      <c r="AH19" s="137">
        <f t="shared" si="4"/>
        <v>0</v>
      </c>
      <c r="AI19" s="126" t="e">
        <f t="shared" si="5"/>
        <v>#N/A</v>
      </c>
      <c r="AJ19" s="126"/>
      <c r="AK19" s="138" t="s">
        <v>312</v>
      </c>
      <c r="AL19" s="129">
        <f t="shared" si="6"/>
        <v>0</v>
      </c>
      <c r="AM19" s="126">
        <f t="shared" si="7"/>
        <v>0</v>
      </c>
      <c r="AN19" s="126">
        <f t="shared" si="8"/>
        <v>0</v>
      </c>
      <c r="AO19" s="126">
        <f t="shared" si="9"/>
        <v>0</v>
      </c>
      <c r="AP19" s="126">
        <f t="shared" si="10"/>
        <v>0</v>
      </c>
      <c r="AQ19" s="126">
        <f t="shared" si="11"/>
        <v>0</v>
      </c>
      <c r="AR19" s="126">
        <f t="shared" si="12"/>
        <v>0</v>
      </c>
      <c r="AS19" s="126">
        <f t="shared" si="13"/>
        <v>0</v>
      </c>
      <c r="AT19" s="126">
        <f t="shared" si="14"/>
        <v>0</v>
      </c>
      <c r="AU19" s="126">
        <f t="shared" si="15"/>
        <v>0</v>
      </c>
      <c r="AV19" s="126">
        <f t="shared" si="16"/>
        <v>0</v>
      </c>
      <c r="AW19" s="126">
        <f t="shared" si="17"/>
        <v>0</v>
      </c>
      <c r="AX19" s="126">
        <f t="shared" si="18"/>
        <v>0</v>
      </c>
      <c r="AY19" s="126">
        <f t="shared" si="19"/>
        <v>0</v>
      </c>
      <c r="AZ19" s="126">
        <f t="shared" si="20"/>
        <v>0</v>
      </c>
      <c r="BA19" s="126">
        <f t="shared" si="21"/>
        <v>0</v>
      </c>
      <c r="BB19" s="126">
        <f t="shared" si="22"/>
        <v>0</v>
      </c>
      <c r="BC19" s="126">
        <f t="shared" si="23"/>
        <v>0</v>
      </c>
      <c r="BD19" s="126">
        <f t="shared" si="24"/>
        <v>0</v>
      </c>
      <c r="BE19" s="126">
        <f t="shared" si="25"/>
        <v>0</v>
      </c>
      <c r="BF19" s="126">
        <f t="shared" si="26"/>
        <v>0</v>
      </c>
      <c r="BG19" s="126">
        <f t="shared" si="27"/>
        <v>0</v>
      </c>
      <c r="BH19" s="126">
        <f t="shared" si="28"/>
        <v>0</v>
      </c>
      <c r="BI19" s="126">
        <f t="shared" si="29"/>
        <v>0</v>
      </c>
      <c r="BJ19" s="126">
        <f t="shared" si="30"/>
        <v>0</v>
      </c>
      <c r="BK19" s="126">
        <f t="shared" si="31"/>
        <v>0</v>
      </c>
      <c r="BL19" s="126">
        <f t="shared" si="32"/>
        <v>0</v>
      </c>
      <c r="BM19" s="126">
        <f t="shared" si="33"/>
        <v>0</v>
      </c>
      <c r="BN19" s="126">
        <f t="shared" si="34"/>
        <v>0</v>
      </c>
      <c r="BO19" s="126">
        <f t="shared" si="35"/>
        <v>0</v>
      </c>
      <c r="BP19" s="126">
        <f t="shared" si="36"/>
        <v>0</v>
      </c>
      <c r="BQ19" s="126">
        <f t="shared" si="37"/>
        <v>0</v>
      </c>
      <c r="BR19" s="126">
        <f t="shared" si="38"/>
        <v>0</v>
      </c>
      <c r="BS19" s="126">
        <f t="shared" si="39"/>
        <v>0</v>
      </c>
      <c r="BT19" s="126">
        <f t="shared" si="40"/>
        <v>0</v>
      </c>
      <c r="BU19" s="126">
        <f t="shared" si="41"/>
        <v>0</v>
      </c>
      <c r="BV19" s="126">
        <f t="shared" si="42"/>
        <v>0</v>
      </c>
      <c r="BW19" s="126">
        <f t="shared" si="43"/>
        <v>0</v>
      </c>
      <c r="BX19" s="126">
        <f t="shared" si="44"/>
        <v>0</v>
      </c>
      <c r="BY19" s="126">
        <f t="shared" si="45"/>
        <v>0</v>
      </c>
      <c r="BZ19" s="126">
        <f t="shared" si="46"/>
        <v>0</v>
      </c>
      <c r="CA19" s="126">
        <f t="shared" si="47"/>
        <v>0</v>
      </c>
      <c r="CB19" s="126">
        <f t="shared" si="48"/>
        <v>0</v>
      </c>
      <c r="CC19" s="126">
        <f t="shared" si="49"/>
        <v>0</v>
      </c>
      <c r="CD19" s="126">
        <f t="shared" si="50"/>
        <v>0</v>
      </c>
      <c r="CE19" s="126">
        <f t="shared" si="51"/>
        <v>0</v>
      </c>
      <c r="CF19" s="126">
        <f t="shared" si="52"/>
        <v>0</v>
      </c>
      <c r="CG19" s="126">
        <f t="shared" si="53"/>
        <v>0</v>
      </c>
      <c r="CH19" s="126">
        <f t="shared" si="54"/>
        <v>0</v>
      </c>
      <c r="CI19" s="126">
        <f t="shared" si="55"/>
        <v>0</v>
      </c>
      <c r="CJ19" s="126">
        <f t="shared" si="56"/>
        <v>0</v>
      </c>
      <c r="CK19" s="126"/>
    </row>
    <row r="20" spans="1:89" ht="9.7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 t="str">
        <f>'Construction and Materials'!B34</f>
        <v>MEP</v>
      </c>
      <c r="Q20" s="126" t="str">
        <f>'Construction and Materials'!C34</f>
        <v>Stainless Steel Duct (kg)</v>
      </c>
      <c r="R20" s="129">
        <f>'Construction and Materials'!D34</f>
        <v>3040</v>
      </c>
      <c r="S20" s="130">
        <f>IF(NOT(Q20="Pick Type"),VLOOKUP(Q20,'LCA Data'!$C$8:$S$107,6,FALSE)*Lists!R20,0)</f>
        <v>10275.199999999999</v>
      </c>
      <c r="T20" s="131">
        <f>IF(NOT(Q20="Pick Type"),VLOOKUP(Q20,'LCA Data'!$C$8:$S$107,10,FALSE)*Lists!R20,0)</f>
        <v>67.792000000000002</v>
      </c>
      <c r="U20" s="132">
        <f>IF(NOT(Q20="Pick Type"),VLOOKUP(Q20,'LCA Data'!$C$8:$S$107,14,FALSE)*Lists!R20,0)</f>
        <v>0</v>
      </c>
      <c r="V20" s="133">
        <f t="shared" si="1"/>
        <v>10342.991999999998</v>
      </c>
      <c r="W20" s="130">
        <f>IF(NOT(Q20="Pick Type"),VLOOKUP(Q20,'LCA Data'!$C$8:$S$107,7,FALSE)*Lists!R20,0)</f>
        <v>81585.659520000001</v>
      </c>
      <c r="X20" s="131">
        <f>IF(NOT(Q20="Pick Type"),VLOOKUP(Q20,'LCA Data'!$C$8:$S$107,11,FALSE)*Lists!R20,0)</f>
        <v>1043.6855040000003</v>
      </c>
      <c r="Y20" s="132">
        <f>IF(NOT(Q20="Pick Type"),VLOOKUP(Q20,'LCA Data'!$C$8:$S$107,15,FALSE)*Lists!R20,0)</f>
        <v>0</v>
      </c>
      <c r="Z20" s="133">
        <f t="shared" si="2"/>
        <v>82629.345023999995</v>
      </c>
      <c r="AA20" s="130">
        <f>IF(NOT(Q20="Pick Type"),VLOOKUP(Q20,'LCA Data'!$C$8:$S$107,8,FALSE)*Lists!R20,0)</f>
        <v>57760</v>
      </c>
      <c r="AB20" s="131">
        <f>IF(NOT(Q20="Pick Type"),VLOOKUP(Q20,'LCA Data'!$C$8:$S$107,12,FALSE)*Lists!R20,0)</f>
        <v>241.98400000000001</v>
      </c>
      <c r="AC20" s="132">
        <f>IF(NOT(Q20="Pick Type"),VLOOKUP(Q20,'LCA Data'!$C$8:$S$107,16,FALSE)*Lists!R20,0)</f>
        <v>0</v>
      </c>
      <c r="AD20" s="133">
        <f t="shared" si="3"/>
        <v>58001.983999999997</v>
      </c>
      <c r="AE20" s="134">
        <f>IF(NOT(Q20="Pick Type"),VLOOKUP(Q20,'LCA Data'!$C$8:$S$107,9,FALSE)*Lists!R20,0)</f>
        <v>0</v>
      </c>
      <c r="AF20" s="135">
        <f>IF(NOT(Q20="Pick Type"),VLOOKUP(Q20,'LCA Data'!$C$8:$S$107,13,FALSE)*Lists!R20,0)</f>
        <v>1.07616E-5</v>
      </c>
      <c r="AG20" s="136">
        <f>IF(NOT(Q20="Pick Type"),VLOOKUP(Q20,'LCA Data'!$C$8:$S$107,17,FALSE)*Lists!R20,0)</f>
        <v>0</v>
      </c>
      <c r="AH20" s="137">
        <f t="shared" si="4"/>
        <v>1.07616E-5</v>
      </c>
      <c r="AI20" s="126" t="str">
        <f t="shared" si="5"/>
        <v>Stainless Steel Duct (kg)</v>
      </c>
      <c r="AJ20" s="126"/>
      <c r="AK20" s="138" t="s">
        <v>312</v>
      </c>
      <c r="AL20" s="129">
        <f t="shared" si="6"/>
        <v>10342.991999999998</v>
      </c>
      <c r="AM20" s="126">
        <f t="shared" si="7"/>
        <v>0</v>
      </c>
      <c r="AN20" s="126">
        <f t="shared" si="8"/>
        <v>0</v>
      </c>
      <c r="AO20" s="126">
        <f t="shared" si="9"/>
        <v>0</v>
      </c>
      <c r="AP20" s="126">
        <f t="shared" si="10"/>
        <v>0</v>
      </c>
      <c r="AQ20" s="126">
        <f t="shared" si="11"/>
        <v>0</v>
      </c>
      <c r="AR20" s="126">
        <f t="shared" si="12"/>
        <v>0</v>
      </c>
      <c r="AS20" s="126">
        <f t="shared" si="13"/>
        <v>0</v>
      </c>
      <c r="AT20" s="126">
        <f t="shared" si="14"/>
        <v>0</v>
      </c>
      <c r="AU20" s="126">
        <f t="shared" si="15"/>
        <v>0</v>
      </c>
      <c r="AV20" s="126">
        <f t="shared" si="16"/>
        <v>0</v>
      </c>
      <c r="AW20" s="126">
        <f t="shared" si="17"/>
        <v>0</v>
      </c>
      <c r="AX20" s="126">
        <f t="shared" si="18"/>
        <v>0</v>
      </c>
      <c r="AY20" s="126">
        <f t="shared" si="19"/>
        <v>0</v>
      </c>
      <c r="AZ20" s="126">
        <f t="shared" si="20"/>
        <v>0</v>
      </c>
      <c r="BA20" s="126">
        <f t="shared" si="21"/>
        <v>0</v>
      </c>
      <c r="BB20" s="126">
        <f t="shared" si="22"/>
        <v>0</v>
      </c>
      <c r="BC20" s="126">
        <f t="shared" si="23"/>
        <v>0</v>
      </c>
      <c r="BD20" s="126">
        <f t="shared" si="24"/>
        <v>0</v>
      </c>
      <c r="BE20" s="126">
        <f t="shared" si="25"/>
        <v>0</v>
      </c>
      <c r="BF20" s="126">
        <f t="shared" si="26"/>
        <v>0</v>
      </c>
      <c r="BG20" s="126">
        <f t="shared" si="27"/>
        <v>0</v>
      </c>
      <c r="BH20" s="126">
        <f t="shared" si="28"/>
        <v>0</v>
      </c>
      <c r="BI20" s="126">
        <f t="shared" si="29"/>
        <v>0</v>
      </c>
      <c r="BJ20" s="126">
        <f t="shared" si="30"/>
        <v>0</v>
      </c>
      <c r="BK20" s="126">
        <f t="shared" si="31"/>
        <v>0</v>
      </c>
      <c r="BL20" s="126">
        <f t="shared" si="32"/>
        <v>0</v>
      </c>
      <c r="BM20" s="126">
        <f t="shared" si="33"/>
        <v>0</v>
      </c>
      <c r="BN20" s="126">
        <f t="shared" si="34"/>
        <v>0</v>
      </c>
      <c r="BO20" s="126">
        <f t="shared" si="35"/>
        <v>0</v>
      </c>
      <c r="BP20" s="126">
        <f t="shared" si="36"/>
        <v>0</v>
      </c>
      <c r="BQ20" s="126">
        <f t="shared" si="37"/>
        <v>0</v>
      </c>
      <c r="BR20" s="126">
        <f t="shared" si="38"/>
        <v>0</v>
      </c>
      <c r="BS20" s="126">
        <f t="shared" si="39"/>
        <v>0</v>
      </c>
      <c r="BT20" s="126">
        <f t="shared" si="40"/>
        <v>0</v>
      </c>
      <c r="BU20" s="126">
        <f t="shared" si="41"/>
        <v>0</v>
      </c>
      <c r="BV20" s="126">
        <f t="shared" si="42"/>
        <v>0</v>
      </c>
      <c r="BW20" s="126">
        <f t="shared" si="43"/>
        <v>0</v>
      </c>
      <c r="BX20" s="126">
        <f t="shared" si="44"/>
        <v>0</v>
      </c>
      <c r="BY20" s="126">
        <f t="shared" si="45"/>
        <v>0</v>
      </c>
      <c r="BZ20" s="126">
        <f t="shared" si="46"/>
        <v>0</v>
      </c>
      <c r="CA20" s="126">
        <f t="shared" si="47"/>
        <v>0</v>
      </c>
      <c r="CB20" s="126">
        <f t="shared" si="48"/>
        <v>0</v>
      </c>
      <c r="CC20" s="126">
        <f t="shared" si="49"/>
        <v>0</v>
      </c>
      <c r="CD20" s="126">
        <f t="shared" si="50"/>
        <v>0</v>
      </c>
      <c r="CE20" s="126">
        <f t="shared" si="51"/>
        <v>0</v>
      </c>
      <c r="CF20" s="126">
        <f t="shared" si="52"/>
        <v>0</v>
      </c>
      <c r="CG20" s="126">
        <f t="shared" si="53"/>
        <v>0</v>
      </c>
      <c r="CH20" s="126">
        <f t="shared" si="54"/>
        <v>0</v>
      </c>
      <c r="CI20" s="126">
        <f t="shared" si="55"/>
        <v>0</v>
      </c>
      <c r="CJ20" s="126">
        <f t="shared" si="56"/>
        <v>0</v>
      </c>
      <c r="CK20" s="126"/>
    </row>
    <row r="21" spans="1:89" ht="9.75" customHeight="1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 t="str">
        <f>'Construction and Materials'!B35</f>
        <v>MEP</v>
      </c>
      <c r="Q21" s="126" t="str">
        <f>'Construction and Materials'!C35</f>
        <v>AHU w/Wheel Waste Heat Recovery (m^3/s)</v>
      </c>
      <c r="R21" s="129">
        <f>'Construction and Materials'!D35</f>
        <v>1</v>
      </c>
      <c r="S21" s="130">
        <f>IF(NOT(Q21="Pick Type"),VLOOKUP(Q21,'LCA Data'!$C$8:$S$107,6,FALSE)*Lists!R21,0)</f>
        <v>4034.7739069825188</v>
      </c>
      <c r="T21" s="131">
        <f>IF(NOT(Q21="Pick Type"),VLOOKUP(Q21,'LCA Data'!$C$8:$S$107,10,FALSE)*Lists!R21,0)</f>
        <v>16.894223351446467</v>
      </c>
      <c r="U21" s="132">
        <f>IF(NOT(Q21="Pick Type"),VLOOKUP(Q21,'LCA Data'!$C$8:$S$107,14,FALSE)*Lists!R21,0)</f>
        <v>7.8571428571428564E-4</v>
      </c>
      <c r="V21" s="133">
        <f t="shared" si="1"/>
        <v>4051.668916048251</v>
      </c>
      <c r="W21" s="130">
        <f>IF(NOT(Q21="Pick Type"),VLOOKUP(Q21,'LCA Data'!$C$8:$S$107,7,FALSE)*Lists!R21,0)</f>
        <v>50565.06989494562</v>
      </c>
      <c r="X21" s="131">
        <f>IF(NOT(Q21="Pick Type"),VLOOKUP(Q21,'LCA Data'!$C$8:$S$107,11,FALSE)*Lists!R21,0)</f>
        <v>259.42614923580362</v>
      </c>
      <c r="Y21" s="132">
        <f>IF(NOT(Q21="Pick Type"),VLOOKUP(Q21,'LCA Data'!$C$8:$S$107,15,FALSE)*Lists!R21,0)</f>
        <v>1.1071428571428571E-2</v>
      </c>
      <c r="Z21" s="133">
        <f t="shared" si="2"/>
        <v>50824.507115609995</v>
      </c>
      <c r="AA21" s="130">
        <f>IF(NOT(Q21="Pick Type"),VLOOKUP(Q21,'LCA Data'!$C$8:$S$107,8,FALSE)*Lists!R21,0)</f>
        <v>30935.083091054883</v>
      </c>
      <c r="AB21" s="131">
        <f>IF(NOT(Q21="Pick Type"),VLOOKUP(Q21,'LCA Data'!$C$8:$S$107,12,FALSE)*Lists!R21,0)</f>
        <v>60.374662989767209</v>
      </c>
      <c r="AC21" s="132">
        <f>IF(NOT(Q21="Pick Type"),VLOOKUP(Q21,'LCA Data'!$C$8:$S$107,16,FALSE)*Lists!R21,0)</f>
        <v>1.1735714285714285E-2</v>
      </c>
      <c r="AD21" s="133">
        <f t="shared" si="3"/>
        <v>30995.469489758936</v>
      </c>
      <c r="AE21" s="134">
        <f>IF(NOT(Q21="Pick Type"),VLOOKUP(Q21,'LCA Data'!$C$8:$S$107,9,FALSE)*Lists!R21,0)</f>
        <v>3.1226950354609935E-4</v>
      </c>
      <c r="AF21" s="135">
        <f>IF(NOT(Q21="Pick Type"),VLOOKUP(Q21,'LCA Data'!$C$8:$S$107,13,FALSE)*Lists!R21,0)</f>
        <v>2.6771559312319107E-6</v>
      </c>
      <c r="AG21" s="136">
        <f>IF(NOT(Q21="Pick Type"),VLOOKUP(Q21,'LCA Data'!$C$8:$S$107,17,FALSE)*Lists!R21,0)</f>
        <v>3.2178571428571431E-14</v>
      </c>
      <c r="AH21" s="137">
        <f t="shared" si="4"/>
        <v>3.1494665950950986E-4</v>
      </c>
      <c r="AI21" s="126" t="str">
        <f t="shared" si="5"/>
        <v>AHU w/Wheel Waste Heat Recovery (m^3/s)</v>
      </c>
      <c r="AJ21" s="126"/>
      <c r="AK21" s="138" t="s">
        <v>312</v>
      </c>
      <c r="AL21" s="129">
        <f t="shared" si="6"/>
        <v>4051.668916048251</v>
      </c>
      <c r="AM21" s="126">
        <f t="shared" si="7"/>
        <v>0</v>
      </c>
      <c r="AN21" s="126">
        <f t="shared" si="8"/>
        <v>0</v>
      </c>
      <c r="AO21" s="126">
        <f t="shared" si="9"/>
        <v>0</v>
      </c>
      <c r="AP21" s="126">
        <f t="shared" si="10"/>
        <v>0</v>
      </c>
      <c r="AQ21" s="126">
        <f t="shared" si="11"/>
        <v>0</v>
      </c>
      <c r="AR21" s="126">
        <f t="shared" si="12"/>
        <v>0</v>
      </c>
      <c r="AS21" s="126">
        <f t="shared" si="13"/>
        <v>0</v>
      </c>
      <c r="AT21" s="126">
        <f t="shared" si="14"/>
        <v>0</v>
      </c>
      <c r="AU21" s="126">
        <f t="shared" si="15"/>
        <v>0</v>
      </c>
      <c r="AV21" s="126">
        <f t="shared" si="16"/>
        <v>0</v>
      </c>
      <c r="AW21" s="126">
        <f t="shared" si="17"/>
        <v>0</v>
      </c>
      <c r="AX21" s="126">
        <f t="shared" si="18"/>
        <v>0</v>
      </c>
      <c r="AY21" s="126">
        <f t="shared" si="19"/>
        <v>0</v>
      </c>
      <c r="AZ21" s="126">
        <f t="shared" si="20"/>
        <v>0</v>
      </c>
      <c r="BA21" s="126">
        <f t="shared" si="21"/>
        <v>0</v>
      </c>
      <c r="BB21" s="126">
        <f t="shared" si="22"/>
        <v>0</v>
      </c>
      <c r="BC21" s="126">
        <f t="shared" si="23"/>
        <v>0</v>
      </c>
      <c r="BD21" s="126">
        <f t="shared" si="24"/>
        <v>0</v>
      </c>
      <c r="BE21" s="126">
        <f t="shared" si="25"/>
        <v>0</v>
      </c>
      <c r="BF21" s="126">
        <f t="shared" si="26"/>
        <v>0</v>
      </c>
      <c r="BG21" s="126">
        <f t="shared" si="27"/>
        <v>0</v>
      </c>
      <c r="BH21" s="126">
        <f t="shared" si="28"/>
        <v>0</v>
      </c>
      <c r="BI21" s="126">
        <f t="shared" si="29"/>
        <v>0</v>
      </c>
      <c r="BJ21" s="126">
        <f t="shared" si="30"/>
        <v>0</v>
      </c>
      <c r="BK21" s="126">
        <f t="shared" si="31"/>
        <v>4051.668916048251</v>
      </c>
      <c r="BL21" s="126">
        <f t="shared" si="32"/>
        <v>0</v>
      </c>
      <c r="BM21" s="126">
        <f t="shared" si="33"/>
        <v>0</v>
      </c>
      <c r="BN21" s="126">
        <f t="shared" si="34"/>
        <v>0</v>
      </c>
      <c r="BO21" s="126">
        <f t="shared" si="35"/>
        <v>0</v>
      </c>
      <c r="BP21" s="126">
        <f t="shared" si="36"/>
        <v>0</v>
      </c>
      <c r="BQ21" s="126">
        <f t="shared" si="37"/>
        <v>0</v>
      </c>
      <c r="BR21" s="126">
        <f t="shared" si="38"/>
        <v>0</v>
      </c>
      <c r="BS21" s="126">
        <f t="shared" si="39"/>
        <v>0</v>
      </c>
      <c r="BT21" s="126">
        <f t="shared" si="40"/>
        <v>0</v>
      </c>
      <c r="BU21" s="126">
        <f t="shared" si="41"/>
        <v>0</v>
      </c>
      <c r="BV21" s="126">
        <f t="shared" si="42"/>
        <v>0</v>
      </c>
      <c r="BW21" s="126">
        <f t="shared" si="43"/>
        <v>0</v>
      </c>
      <c r="BX21" s="126">
        <f t="shared" si="44"/>
        <v>0</v>
      </c>
      <c r="BY21" s="126">
        <f t="shared" si="45"/>
        <v>0</v>
      </c>
      <c r="BZ21" s="126">
        <f t="shared" si="46"/>
        <v>0</v>
      </c>
      <c r="CA21" s="126">
        <f t="shared" si="47"/>
        <v>0</v>
      </c>
      <c r="CB21" s="126">
        <f t="shared" si="48"/>
        <v>0</v>
      </c>
      <c r="CC21" s="126">
        <f t="shared" si="49"/>
        <v>0</v>
      </c>
      <c r="CD21" s="126">
        <f t="shared" si="50"/>
        <v>0</v>
      </c>
      <c r="CE21" s="126">
        <f t="shared" si="51"/>
        <v>0</v>
      </c>
      <c r="CF21" s="126">
        <f t="shared" si="52"/>
        <v>0</v>
      </c>
      <c r="CG21" s="126">
        <f t="shared" si="53"/>
        <v>0</v>
      </c>
      <c r="CH21" s="126">
        <f t="shared" si="54"/>
        <v>0</v>
      </c>
      <c r="CI21" s="126">
        <f t="shared" si="55"/>
        <v>0</v>
      </c>
      <c r="CJ21" s="126">
        <f t="shared" si="56"/>
        <v>0</v>
      </c>
      <c r="CK21" s="126"/>
    </row>
    <row r="22" spans="1:89" ht="9.75" customHeight="1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 t="str">
        <f>'Construction and Materials'!B36</f>
        <v>Energy</v>
      </c>
      <c r="Q22" s="126" t="str">
        <f>'Construction and Materials'!C36</f>
        <v>Photovoltaics (sf)</v>
      </c>
      <c r="R22" s="129">
        <f>'Construction and Materials'!D36</f>
        <v>5000</v>
      </c>
      <c r="S22" s="130">
        <f>IF(NOT(Q22="Pick Type"),VLOOKUP(Q22,'LCA Data'!$C$8:$S$107,6,FALSE)*Lists!R22,0)</f>
        <v>102924.99999999999</v>
      </c>
      <c r="T22" s="131">
        <f>IF(NOT(Q22="Pick Type"),VLOOKUP(Q22,'LCA Data'!$C$8:$S$107,10,FALSE)*Lists!R22,0)</f>
        <v>348.5</v>
      </c>
      <c r="U22" s="132">
        <f>IF(NOT(Q22="Pick Type"),VLOOKUP(Q22,'LCA Data'!$C$8:$S$107,14,FALSE)*Lists!R22,0)</f>
        <v>211</v>
      </c>
      <c r="V22" s="133">
        <f t="shared" si="1"/>
        <v>103484.49999999999</v>
      </c>
      <c r="W22" s="130">
        <f>IF(NOT(Q22="Pick Type"),VLOOKUP(Q22,'LCA Data'!$C$8:$S$107,7,FALSE)*Lists!R22,0)</f>
        <v>1333705.1399999999</v>
      </c>
      <c r="X22" s="131">
        <f>IF(NOT(Q22="Pick Type"),VLOOKUP(Q22,'LCA Data'!$C$8:$S$107,11,FALSE)*Lists!R22,0)</f>
        <v>5359.1040000000003</v>
      </c>
      <c r="Y22" s="132">
        <f>IF(NOT(Q22="Pick Type"),VLOOKUP(Q22,'LCA Data'!$C$8:$S$107,15,FALSE)*Lists!R22,0)</f>
        <v>71</v>
      </c>
      <c r="Z22" s="133">
        <f t="shared" si="2"/>
        <v>1339135.2439999999</v>
      </c>
      <c r="AA22" s="130">
        <f>IF(NOT(Q22="Pick Type"),VLOOKUP(Q22,'LCA Data'!$C$8:$S$107,8,FALSE)*Lists!R22,0)</f>
        <v>1903250</v>
      </c>
      <c r="AB22" s="131">
        <f>IF(NOT(Q22="Pick Type"),VLOOKUP(Q22,'LCA Data'!$C$8:$S$107,12,FALSE)*Lists!R22,0)</f>
        <v>1244.9999999999998</v>
      </c>
      <c r="AC22" s="132">
        <f>IF(NOT(Q22="Pick Type"),VLOOKUP(Q22,'LCA Data'!$C$8:$S$107,16,FALSE)*Lists!R22,0)</f>
        <v>75.260000000000005</v>
      </c>
      <c r="AD22" s="133">
        <f t="shared" si="3"/>
        <v>1904570.26</v>
      </c>
      <c r="AE22" s="134">
        <f>IF(NOT(Q22="Pick Type"),VLOOKUP(Q22,'LCA Data'!$C$8:$S$107,9,FALSE)*Lists!R22,0)</f>
        <v>1.2777777777777774E-3</v>
      </c>
      <c r="AF22" s="135">
        <f>IF(NOT(Q22="Pick Type"),VLOOKUP(Q22,'LCA Data'!$C$8:$S$107,13,FALSE)*Lists!R22,0)</f>
        <v>5.5500000000000007E-5</v>
      </c>
      <c r="AG22" s="136">
        <f>IF(NOT(Q22="Pick Type"),VLOOKUP(Q22,'LCA Data'!$C$8:$S$107,17,FALSE)*Lists!R22,0)</f>
        <v>5.3600000000000005E-9</v>
      </c>
      <c r="AH22" s="137">
        <f t="shared" si="4"/>
        <v>1.3332831377777775E-3</v>
      </c>
      <c r="AI22" s="126" t="str">
        <f t="shared" si="5"/>
        <v>Photovoltaics (sf)</v>
      </c>
      <c r="AJ22" s="126"/>
      <c r="AK22" s="138" t="s">
        <v>312</v>
      </c>
      <c r="AL22" s="129">
        <f t="shared" si="6"/>
        <v>103484.49999999999</v>
      </c>
      <c r="AM22" s="126">
        <f t="shared" si="7"/>
        <v>0</v>
      </c>
      <c r="AN22" s="126">
        <f t="shared" si="8"/>
        <v>0</v>
      </c>
      <c r="AO22" s="126">
        <f t="shared" si="9"/>
        <v>0</v>
      </c>
      <c r="AP22" s="126">
        <f t="shared" si="10"/>
        <v>0</v>
      </c>
      <c r="AQ22" s="126">
        <f t="shared" si="11"/>
        <v>0</v>
      </c>
      <c r="AR22" s="126">
        <f t="shared" si="12"/>
        <v>0</v>
      </c>
      <c r="AS22" s="126">
        <f t="shared" si="13"/>
        <v>0</v>
      </c>
      <c r="AT22" s="126">
        <f t="shared" si="14"/>
        <v>0</v>
      </c>
      <c r="AU22" s="126">
        <f t="shared" si="15"/>
        <v>0</v>
      </c>
      <c r="AV22" s="126">
        <f t="shared" si="16"/>
        <v>0</v>
      </c>
      <c r="AW22" s="126">
        <f t="shared" si="17"/>
        <v>0</v>
      </c>
      <c r="AX22" s="126">
        <f t="shared" si="18"/>
        <v>0</v>
      </c>
      <c r="AY22" s="126">
        <f t="shared" si="19"/>
        <v>0</v>
      </c>
      <c r="AZ22" s="126">
        <f t="shared" si="20"/>
        <v>0</v>
      </c>
      <c r="BA22" s="126">
        <f t="shared" si="21"/>
        <v>0</v>
      </c>
      <c r="BB22" s="126">
        <f t="shared" si="22"/>
        <v>0</v>
      </c>
      <c r="BC22" s="126">
        <f t="shared" si="23"/>
        <v>0</v>
      </c>
      <c r="BD22" s="126">
        <f t="shared" si="24"/>
        <v>0</v>
      </c>
      <c r="BE22" s="126">
        <f t="shared" si="25"/>
        <v>0</v>
      </c>
      <c r="BF22" s="126">
        <f t="shared" si="26"/>
        <v>0</v>
      </c>
      <c r="BG22" s="126">
        <f t="shared" si="27"/>
        <v>0</v>
      </c>
      <c r="BH22" s="126">
        <f t="shared" si="28"/>
        <v>0</v>
      </c>
      <c r="BI22" s="126">
        <f t="shared" si="29"/>
        <v>0</v>
      </c>
      <c r="BJ22" s="126">
        <f t="shared" si="30"/>
        <v>0</v>
      </c>
      <c r="BK22" s="126">
        <f t="shared" si="31"/>
        <v>0</v>
      </c>
      <c r="BL22" s="126">
        <f t="shared" si="32"/>
        <v>0</v>
      </c>
      <c r="BM22" s="126">
        <f t="shared" si="33"/>
        <v>0</v>
      </c>
      <c r="BN22" s="126">
        <f t="shared" si="34"/>
        <v>0</v>
      </c>
      <c r="BO22" s="126">
        <f t="shared" si="35"/>
        <v>0</v>
      </c>
      <c r="BP22" s="126">
        <f t="shared" si="36"/>
        <v>103484.49999999999</v>
      </c>
      <c r="BQ22" s="126">
        <f t="shared" si="37"/>
        <v>0</v>
      </c>
      <c r="BR22" s="126">
        <f t="shared" si="38"/>
        <v>0</v>
      </c>
      <c r="BS22" s="126">
        <f t="shared" si="39"/>
        <v>0</v>
      </c>
      <c r="BT22" s="126">
        <f t="shared" si="40"/>
        <v>0</v>
      </c>
      <c r="BU22" s="126">
        <f t="shared" si="41"/>
        <v>0</v>
      </c>
      <c r="BV22" s="126">
        <f t="shared" si="42"/>
        <v>0</v>
      </c>
      <c r="BW22" s="126">
        <f t="shared" si="43"/>
        <v>0</v>
      </c>
      <c r="BX22" s="126">
        <f t="shared" si="44"/>
        <v>0</v>
      </c>
      <c r="BY22" s="126">
        <f t="shared" si="45"/>
        <v>0</v>
      </c>
      <c r="BZ22" s="126">
        <f t="shared" si="46"/>
        <v>0</v>
      </c>
      <c r="CA22" s="126">
        <f t="shared" si="47"/>
        <v>0</v>
      </c>
      <c r="CB22" s="126">
        <f t="shared" si="48"/>
        <v>0</v>
      </c>
      <c r="CC22" s="126">
        <f t="shared" si="49"/>
        <v>0</v>
      </c>
      <c r="CD22" s="126">
        <f t="shared" si="50"/>
        <v>0</v>
      </c>
      <c r="CE22" s="126">
        <f t="shared" si="51"/>
        <v>0</v>
      </c>
      <c r="CF22" s="126">
        <f t="shared" si="52"/>
        <v>0</v>
      </c>
      <c r="CG22" s="126">
        <f t="shared" si="53"/>
        <v>0</v>
      </c>
      <c r="CH22" s="126">
        <f t="shared" si="54"/>
        <v>0</v>
      </c>
      <c r="CI22" s="126">
        <f t="shared" si="55"/>
        <v>0</v>
      </c>
      <c r="CJ22" s="126">
        <f t="shared" si="56"/>
        <v>0</v>
      </c>
      <c r="CK22" s="126"/>
    </row>
    <row r="23" spans="1:89" ht="9.75" customHeight="1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 t="str">
        <f>'Construction and Materials'!B37</f>
        <v>Energy</v>
      </c>
      <c r="Q23" s="126" t="str">
        <f>'Construction and Materials'!C37</f>
        <v>EV Battery (kWh)</v>
      </c>
      <c r="R23" s="129">
        <f>'Construction and Materials'!D37</f>
        <v>1200</v>
      </c>
      <c r="S23" s="130">
        <f>IF(NOT(Q23="Pick Type"),VLOOKUP(Q23,'LCA Data'!$C$8:$S$107,6,FALSE)*Lists!R23,0)</f>
        <v>52150.8</v>
      </c>
      <c r="T23" s="131">
        <f>IF(NOT(Q23="Pick Type"),VLOOKUP(Q23,'LCA Data'!$C$8:$S$107,10,FALSE)*Lists!R23,0)</f>
        <v>218.0112</v>
      </c>
      <c r="U23" s="132">
        <f>IF(NOT(Q23="Pick Type"),VLOOKUP(Q23,'LCA Data'!$C$8:$S$107,14,FALSE)*Lists!R23,0)</f>
        <v>0</v>
      </c>
      <c r="V23" s="133">
        <f t="shared" si="1"/>
        <v>52368.811200000004</v>
      </c>
      <c r="W23" s="130">
        <f>IF(NOT(Q23="Pick Type"),VLOOKUP(Q23,'LCA Data'!$C$8:$S$107,7,FALSE)*Lists!R23,0)</f>
        <v>756160.55999999994</v>
      </c>
      <c r="X23" s="131">
        <f>IF(NOT(Q23="Pick Type"),VLOOKUP(Q23,'LCA Data'!$C$8:$S$107,11,FALSE)*Lists!R23,0)</f>
        <v>3357.12</v>
      </c>
      <c r="Y23" s="132">
        <f>IF(NOT(Q23="Pick Type"),VLOOKUP(Q23,'LCA Data'!$C$8:$S$107,15,FALSE)*Lists!R23,0)</f>
        <v>0</v>
      </c>
      <c r="Z23" s="133">
        <f t="shared" si="2"/>
        <v>759517.67999999993</v>
      </c>
      <c r="AA23" s="130">
        <f>IF(NOT(Q23="Pick Type"),VLOOKUP(Q23,'LCA Data'!$C$8:$S$107,8,FALSE)*Lists!R23,0)</f>
        <v>650120.39747999993</v>
      </c>
      <c r="AB23" s="131">
        <f>IF(NOT(Q23="Pick Type"),VLOOKUP(Q23,'LCA Data'!$C$8:$S$107,12,FALSE)*Lists!R23,0)</f>
        <v>778.55639999999994</v>
      </c>
      <c r="AC23" s="132">
        <f>IF(NOT(Q23="Pick Type"),VLOOKUP(Q23,'LCA Data'!$C$8:$S$107,16,FALSE)*Lists!R23,0)</f>
        <v>0</v>
      </c>
      <c r="AD23" s="133">
        <f t="shared" si="3"/>
        <v>650898.95387999993</v>
      </c>
      <c r="AE23" s="134">
        <f>IF(NOT(Q23="Pick Type"),VLOOKUP(Q23,'LCA Data'!$C$8:$S$107,9,FALSE)*Lists!R23,0)</f>
        <v>4.2995639999999996E-3</v>
      </c>
      <c r="AF23" s="135">
        <f>IF(NOT(Q23="Pick Type"),VLOOKUP(Q23,'LCA Data'!$C$8:$S$107,13,FALSE)*Lists!R23,0)</f>
        <v>3.4560000000000001E-5</v>
      </c>
      <c r="AG23" s="136">
        <f>IF(NOT(Q23="Pick Type"),VLOOKUP(Q23,'LCA Data'!$C$8:$S$107,17,FALSE)*Lists!R23,0)</f>
        <v>0</v>
      </c>
      <c r="AH23" s="137">
        <f t="shared" si="4"/>
        <v>4.334124E-3</v>
      </c>
      <c r="AI23" s="126" t="str">
        <f t="shared" si="5"/>
        <v>EV Battery (kWh)</v>
      </c>
      <c r="AJ23" s="126"/>
      <c r="AK23" s="138" t="s">
        <v>312</v>
      </c>
      <c r="AL23" s="129">
        <f t="shared" si="6"/>
        <v>52368.811200000004</v>
      </c>
      <c r="AM23" s="126">
        <f t="shared" si="7"/>
        <v>0</v>
      </c>
      <c r="AN23" s="126">
        <f t="shared" si="8"/>
        <v>0</v>
      </c>
      <c r="AO23" s="126">
        <f t="shared" si="9"/>
        <v>0</v>
      </c>
      <c r="AP23" s="126">
        <f t="shared" si="10"/>
        <v>0</v>
      </c>
      <c r="AQ23" s="126">
        <f t="shared" si="11"/>
        <v>0</v>
      </c>
      <c r="AR23" s="126">
        <f t="shared" si="12"/>
        <v>0</v>
      </c>
      <c r="AS23" s="126">
        <f t="shared" si="13"/>
        <v>0</v>
      </c>
      <c r="AT23" s="126">
        <f t="shared" si="14"/>
        <v>0</v>
      </c>
      <c r="AU23" s="126">
        <f t="shared" si="15"/>
        <v>0</v>
      </c>
      <c r="AV23" s="126">
        <f t="shared" si="16"/>
        <v>0</v>
      </c>
      <c r="AW23" s="126">
        <f t="shared" si="17"/>
        <v>0</v>
      </c>
      <c r="AX23" s="126">
        <f t="shared" si="18"/>
        <v>0</v>
      </c>
      <c r="AY23" s="126">
        <f t="shared" si="19"/>
        <v>0</v>
      </c>
      <c r="AZ23" s="126">
        <f t="shared" si="20"/>
        <v>0</v>
      </c>
      <c r="BA23" s="126">
        <f t="shared" si="21"/>
        <v>0</v>
      </c>
      <c r="BB23" s="126">
        <f t="shared" si="22"/>
        <v>0</v>
      </c>
      <c r="BC23" s="126">
        <f t="shared" si="23"/>
        <v>0</v>
      </c>
      <c r="BD23" s="126">
        <f t="shared" si="24"/>
        <v>0</v>
      </c>
      <c r="BE23" s="126">
        <f t="shared" si="25"/>
        <v>0</v>
      </c>
      <c r="BF23" s="126">
        <f t="shared" si="26"/>
        <v>0</v>
      </c>
      <c r="BG23" s="126">
        <f t="shared" si="27"/>
        <v>0</v>
      </c>
      <c r="BH23" s="126">
        <f t="shared" si="28"/>
        <v>0</v>
      </c>
      <c r="BI23" s="126">
        <f t="shared" si="29"/>
        <v>0</v>
      </c>
      <c r="BJ23" s="126">
        <f t="shared" si="30"/>
        <v>0</v>
      </c>
      <c r="BK23" s="126">
        <f t="shared" si="31"/>
        <v>52368.811200000004</v>
      </c>
      <c r="BL23" s="126">
        <f t="shared" si="32"/>
        <v>0</v>
      </c>
      <c r="BM23" s="126">
        <f t="shared" si="33"/>
        <v>0</v>
      </c>
      <c r="BN23" s="126">
        <f t="shared" si="34"/>
        <v>0</v>
      </c>
      <c r="BO23" s="126">
        <f t="shared" si="35"/>
        <v>0</v>
      </c>
      <c r="BP23" s="126">
        <f t="shared" si="36"/>
        <v>0</v>
      </c>
      <c r="BQ23" s="126">
        <f t="shared" si="37"/>
        <v>0</v>
      </c>
      <c r="BR23" s="126">
        <f t="shared" si="38"/>
        <v>0</v>
      </c>
      <c r="BS23" s="126">
        <f t="shared" si="39"/>
        <v>0</v>
      </c>
      <c r="BT23" s="126">
        <f t="shared" si="40"/>
        <v>0</v>
      </c>
      <c r="BU23" s="126">
        <f t="shared" si="41"/>
        <v>0</v>
      </c>
      <c r="BV23" s="126">
        <f t="shared" si="42"/>
        <v>0</v>
      </c>
      <c r="BW23" s="126">
        <f t="shared" si="43"/>
        <v>0</v>
      </c>
      <c r="BX23" s="126">
        <f t="shared" si="44"/>
        <v>0</v>
      </c>
      <c r="BY23" s="126">
        <f t="shared" si="45"/>
        <v>0</v>
      </c>
      <c r="BZ23" s="126">
        <f t="shared" si="46"/>
        <v>0</v>
      </c>
      <c r="CA23" s="126">
        <f t="shared" si="47"/>
        <v>0</v>
      </c>
      <c r="CB23" s="126">
        <f t="shared" si="48"/>
        <v>0</v>
      </c>
      <c r="CC23" s="126">
        <f t="shared" si="49"/>
        <v>0</v>
      </c>
      <c r="CD23" s="126">
        <f t="shared" si="50"/>
        <v>0</v>
      </c>
      <c r="CE23" s="126">
        <f t="shared" si="51"/>
        <v>0</v>
      </c>
      <c r="CF23" s="126">
        <f t="shared" si="52"/>
        <v>0</v>
      </c>
      <c r="CG23" s="126">
        <f t="shared" si="53"/>
        <v>0</v>
      </c>
      <c r="CH23" s="126">
        <f t="shared" si="54"/>
        <v>0</v>
      </c>
      <c r="CI23" s="126">
        <f t="shared" si="55"/>
        <v>0</v>
      </c>
      <c r="CJ23" s="126">
        <f t="shared" si="56"/>
        <v>0</v>
      </c>
      <c r="CK23" s="126"/>
    </row>
    <row r="24" spans="1:89" ht="9.75" customHeight="1">
      <c r="A24" s="126"/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 t="str">
        <f>'Construction and Materials'!B38</f>
        <v>Energy</v>
      </c>
      <c r="Q24" s="126" t="str">
        <f>'Construction and Materials'!C38</f>
        <v>Integrated Solar Water Heating (sf)</v>
      </c>
      <c r="R24" s="129">
        <f>'Construction and Materials'!D38</f>
        <v>100</v>
      </c>
      <c r="S24" s="130">
        <f>IF(NOT(Q24="Pick Type"),VLOOKUP(Q24,'LCA Data'!$C$8:$S$107,6,FALSE)*Lists!R24,0)</f>
        <v>384</v>
      </c>
      <c r="T24" s="131">
        <f>IF(NOT(Q24="Pick Type"),VLOOKUP(Q24,'LCA Data'!$C$8:$S$107,10,FALSE)*Lists!R24,0)</f>
        <v>4</v>
      </c>
      <c r="U24" s="132">
        <f>IF(NOT(Q24="Pick Type"),VLOOKUP(Q24,'LCA Data'!$C$8:$S$107,14,FALSE)*Lists!R24,0)</f>
        <v>0</v>
      </c>
      <c r="V24" s="133">
        <f t="shared" si="1"/>
        <v>388</v>
      </c>
      <c r="W24" s="130">
        <f>IF(NOT(Q24="Pick Type"),VLOOKUP(Q24,'LCA Data'!$C$8:$S$107,7,FALSE)*Lists!R24,0)</f>
        <v>8994.2999999999993</v>
      </c>
      <c r="X24" s="131">
        <f>IF(NOT(Q24="Pick Type"),VLOOKUP(Q24,'LCA Data'!$C$8:$S$107,11,FALSE)*Lists!R24,0)</f>
        <v>64.361999999999995</v>
      </c>
      <c r="Y24" s="132">
        <f>IF(NOT(Q24="Pick Type"),VLOOKUP(Q24,'LCA Data'!$C$8:$S$107,15,FALSE)*Lists!R24,0)</f>
        <v>0</v>
      </c>
      <c r="Z24" s="133">
        <f t="shared" si="2"/>
        <v>9058.6619999999984</v>
      </c>
      <c r="AA24" s="130">
        <f>IF(NOT(Q24="Pick Type"),VLOOKUP(Q24,'LCA Data'!$C$8:$S$107,8,FALSE)*Lists!R24,0)</f>
        <v>1057.94</v>
      </c>
      <c r="AB24" s="131">
        <f>IF(NOT(Q24="Pick Type"),VLOOKUP(Q24,'LCA Data'!$C$8:$S$107,12,FALSE)*Lists!R24,0)</f>
        <v>14.926</v>
      </c>
      <c r="AC24" s="132">
        <f>IF(NOT(Q24="Pick Type"),VLOOKUP(Q24,'LCA Data'!$C$8:$S$107,16,FALSE)*Lists!R24,0)</f>
        <v>0</v>
      </c>
      <c r="AD24" s="133">
        <f t="shared" si="3"/>
        <v>1072.866</v>
      </c>
      <c r="AE24" s="134">
        <f>IF(NOT(Q24="Pick Type"),VLOOKUP(Q24,'LCA Data'!$C$8:$S$107,9,FALSE)*Lists!R24,0)</f>
        <v>6.4509999999999997E-6</v>
      </c>
      <c r="AF24" s="135">
        <f>IF(NOT(Q24="Pick Type"),VLOOKUP(Q24,'LCA Data'!$C$8:$S$107,13,FALSE)*Lists!R24,0)</f>
        <v>6.6300000000000005E-7</v>
      </c>
      <c r="AG24" s="136">
        <f>IF(NOT(Q24="Pick Type"),VLOOKUP(Q24,'LCA Data'!$C$8:$S$107,17,FALSE)*Lists!R24,0)</f>
        <v>0</v>
      </c>
      <c r="AH24" s="137">
        <f t="shared" si="4"/>
        <v>7.114E-6</v>
      </c>
      <c r="AI24" s="126" t="str">
        <f t="shared" si="5"/>
        <v>Integrated Solar Water Heating (sf)</v>
      </c>
      <c r="AJ24" s="126"/>
      <c r="AK24" s="138" t="s">
        <v>312</v>
      </c>
      <c r="AL24" s="129">
        <f t="shared" si="6"/>
        <v>388</v>
      </c>
      <c r="AM24" s="126">
        <f t="shared" si="7"/>
        <v>0</v>
      </c>
      <c r="AN24" s="126">
        <f t="shared" si="8"/>
        <v>0</v>
      </c>
      <c r="AO24" s="126">
        <f t="shared" si="9"/>
        <v>0</v>
      </c>
      <c r="AP24" s="126">
        <f t="shared" si="10"/>
        <v>0</v>
      </c>
      <c r="AQ24" s="126">
        <f t="shared" si="11"/>
        <v>0</v>
      </c>
      <c r="AR24" s="126">
        <f t="shared" si="12"/>
        <v>0</v>
      </c>
      <c r="AS24" s="126">
        <f t="shared" si="13"/>
        <v>0</v>
      </c>
      <c r="AT24" s="126">
        <f t="shared" si="14"/>
        <v>0</v>
      </c>
      <c r="AU24" s="126">
        <f t="shared" si="15"/>
        <v>0</v>
      </c>
      <c r="AV24" s="126">
        <f t="shared" si="16"/>
        <v>0</v>
      </c>
      <c r="AW24" s="126">
        <f t="shared" si="17"/>
        <v>0</v>
      </c>
      <c r="AX24" s="126">
        <f t="shared" si="18"/>
        <v>0</v>
      </c>
      <c r="AY24" s="126">
        <f t="shared" si="19"/>
        <v>0</v>
      </c>
      <c r="AZ24" s="126">
        <f t="shared" si="20"/>
        <v>0</v>
      </c>
      <c r="BA24" s="126">
        <f t="shared" si="21"/>
        <v>0</v>
      </c>
      <c r="BB24" s="126">
        <f t="shared" si="22"/>
        <v>0</v>
      </c>
      <c r="BC24" s="126">
        <f t="shared" si="23"/>
        <v>0</v>
      </c>
      <c r="BD24" s="126">
        <f t="shared" si="24"/>
        <v>0</v>
      </c>
      <c r="BE24" s="126">
        <f t="shared" si="25"/>
        <v>0</v>
      </c>
      <c r="BF24" s="126">
        <f t="shared" si="26"/>
        <v>0</v>
      </c>
      <c r="BG24" s="126">
        <f t="shared" si="27"/>
        <v>0</v>
      </c>
      <c r="BH24" s="126">
        <f t="shared" si="28"/>
        <v>0</v>
      </c>
      <c r="BI24" s="126">
        <f t="shared" si="29"/>
        <v>0</v>
      </c>
      <c r="BJ24" s="126">
        <f t="shared" si="30"/>
        <v>0</v>
      </c>
      <c r="BK24" s="126">
        <f t="shared" si="31"/>
        <v>0</v>
      </c>
      <c r="BL24" s="126">
        <f t="shared" si="32"/>
        <v>0</v>
      </c>
      <c r="BM24" s="126">
        <f t="shared" si="33"/>
        <v>0</v>
      </c>
      <c r="BN24" s="126">
        <f t="shared" si="34"/>
        <v>0</v>
      </c>
      <c r="BO24" s="126">
        <f t="shared" si="35"/>
        <v>0</v>
      </c>
      <c r="BP24" s="126">
        <f t="shared" si="36"/>
        <v>0</v>
      </c>
      <c r="BQ24" s="126">
        <f t="shared" si="37"/>
        <v>0</v>
      </c>
      <c r="BR24" s="126">
        <f t="shared" si="38"/>
        <v>0</v>
      </c>
      <c r="BS24" s="126">
        <f t="shared" si="39"/>
        <v>0</v>
      </c>
      <c r="BT24" s="126">
        <f t="shared" si="40"/>
        <v>0</v>
      </c>
      <c r="BU24" s="126">
        <f t="shared" si="41"/>
        <v>388</v>
      </c>
      <c r="BV24" s="126">
        <f t="shared" si="42"/>
        <v>0</v>
      </c>
      <c r="BW24" s="126">
        <f t="shared" si="43"/>
        <v>0</v>
      </c>
      <c r="BX24" s="126">
        <f t="shared" si="44"/>
        <v>0</v>
      </c>
      <c r="BY24" s="126">
        <f t="shared" si="45"/>
        <v>0</v>
      </c>
      <c r="BZ24" s="126">
        <f t="shared" si="46"/>
        <v>0</v>
      </c>
      <c r="CA24" s="126">
        <f t="shared" si="47"/>
        <v>0</v>
      </c>
      <c r="CB24" s="126">
        <f t="shared" si="48"/>
        <v>0</v>
      </c>
      <c r="CC24" s="126">
        <f t="shared" si="49"/>
        <v>0</v>
      </c>
      <c r="CD24" s="126">
        <f t="shared" si="50"/>
        <v>0</v>
      </c>
      <c r="CE24" s="126">
        <f t="shared" si="51"/>
        <v>0</v>
      </c>
      <c r="CF24" s="126">
        <f t="shared" si="52"/>
        <v>0</v>
      </c>
      <c r="CG24" s="126">
        <f t="shared" si="53"/>
        <v>0</v>
      </c>
      <c r="CH24" s="126">
        <f t="shared" si="54"/>
        <v>0</v>
      </c>
      <c r="CI24" s="126">
        <f t="shared" si="55"/>
        <v>0</v>
      </c>
      <c r="CJ24" s="126">
        <f t="shared" si="56"/>
        <v>0</v>
      </c>
      <c r="CK24" s="126"/>
    </row>
    <row r="25" spans="1:89" ht="9.75" customHeight="1">
      <c r="A25" s="126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 t="str">
        <f>'Construction and Materials'!B39</f>
        <v>MEP</v>
      </c>
      <c r="Q25" s="126" t="str">
        <f>'Construction and Materials'!C39</f>
        <v>Rainwater Collection Tank (gal)</v>
      </c>
      <c r="R25" s="129">
        <f>'Construction and Materials'!D39</f>
        <v>5000</v>
      </c>
      <c r="S25" s="130">
        <f>IF(NOT(Q25="Pick Type"),VLOOKUP(Q25,'LCA Data'!$C$8:$S$107,6,FALSE)*Lists!R25,0)</f>
        <v>3803.6168773560375</v>
      </c>
      <c r="T25" s="131">
        <f>IF(NOT(Q25="Pick Type"),VLOOKUP(Q25,'LCA Data'!$C$8:$S$107,10,FALSE)*Lists!R25,0)</f>
        <v>81.591793842825695</v>
      </c>
      <c r="U25" s="132">
        <f>IF(NOT(Q25="Pick Type"),VLOOKUP(Q25,'LCA Data'!$C$8:$S$107,14,FALSE)*Lists!R25,0)</f>
        <v>91.484238518506174</v>
      </c>
      <c r="V25" s="133">
        <f t="shared" si="1"/>
        <v>3976.6929097173693</v>
      </c>
      <c r="W25" s="130">
        <f>IF(NOT(Q25="Pick Type"),VLOOKUP(Q25,'LCA Data'!$C$8:$S$107,7,FALSE)*Lists!R25,0)</f>
        <v>26701.311194583923</v>
      </c>
      <c r="X25" s="131">
        <f>IF(NOT(Q25="Pick Type"),VLOOKUP(Q25,'LCA Data'!$C$8:$S$107,11,FALSE)*Lists!R25,0)</f>
        <v>1256.4184260976674</v>
      </c>
      <c r="Y25" s="132">
        <f>IF(NOT(Q25="Pick Type"),VLOOKUP(Q25,'LCA Data'!$C$8:$S$107,15,FALSE)*Lists!R25,0)</f>
        <v>1285.4553195917206</v>
      </c>
      <c r="Z25" s="133">
        <f t="shared" si="2"/>
        <v>29243.184940273313</v>
      </c>
      <c r="AA25" s="130">
        <f>IF(NOT(Q25="Pick Type"),VLOOKUP(Q25,'LCA Data'!$C$8:$S$107,8,FALSE)*Lists!R25,0)</f>
        <v>42522.707652288635</v>
      </c>
      <c r="AB25" s="131">
        <f>IF(NOT(Q25="Pick Type"),VLOOKUP(Q25,'LCA Data'!$C$8:$S$107,12,FALSE)*Lists!R25,0)</f>
        <v>291.37833511004516</v>
      </c>
      <c r="AC25" s="132">
        <f>IF(NOT(Q25="Pick Type"),VLOOKUP(Q25,'LCA Data'!$C$8:$S$107,16,FALSE)*Lists!R25,0)</f>
        <v>0</v>
      </c>
      <c r="AD25" s="133">
        <f t="shared" si="3"/>
        <v>42814.085987398677</v>
      </c>
      <c r="AE25" s="134">
        <f>IF(NOT(Q25="Pick Type"),VLOOKUP(Q25,'LCA Data'!$C$8:$S$107,9,FALSE)*Lists!R25,0)</f>
        <v>2.1335765676151893E-4</v>
      </c>
      <c r="AF25" s="135">
        <f>IF(NOT(Q25="Pick Type"),VLOOKUP(Q25,'LCA Data'!$C$8:$S$107,13,FALSE)*Lists!R25,0)</f>
        <v>1.2951452365496668E-5</v>
      </c>
      <c r="AG25" s="136">
        <f>IF(NOT(Q25="Pick Type"),VLOOKUP(Q25,'LCA Data'!$C$8:$S$107,17,FALSE)*Lists!R25,0)</f>
        <v>3.733119093303198E-9</v>
      </c>
      <c r="AH25" s="137">
        <f t="shared" si="4"/>
        <v>2.263128422461089E-4</v>
      </c>
      <c r="AI25" s="126" t="str">
        <f t="shared" si="5"/>
        <v>Rainwater Collection Tank (gal)</v>
      </c>
      <c r="AJ25" s="126"/>
      <c r="AK25" s="138" t="s">
        <v>312</v>
      </c>
      <c r="AL25" s="129">
        <f t="shared" si="6"/>
        <v>3976.6929097173693</v>
      </c>
      <c r="AM25" s="126">
        <f t="shared" si="7"/>
        <v>0</v>
      </c>
      <c r="AN25" s="126">
        <f t="shared" si="8"/>
        <v>0</v>
      </c>
      <c r="AO25" s="126">
        <f t="shared" si="9"/>
        <v>0</v>
      </c>
      <c r="AP25" s="126">
        <f t="shared" si="10"/>
        <v>0</v>
      </c>
      <c r="AQ25" s="126">
        <f t="shared" si="11"/>
        <v>0</v>
      </c>
      <c r="AR25" s="126">
        <f t="shared" si="12"/>
        <v>0</v>
      </c>
      <c r="AS25" s="126">
        <f t="shared" si="13"/>
        <v>0</v>
      </c>
      <c r="AT25" s="126">
        <f t="shared" si="14"/>
        <v>0</v>
      </c>
      <c r="AU25" s="126">
        <f t="shared" si="15"/>
        <v>0</v>
      </c>
      <c r="AV25" s="126">
        <f t="shared" si="16"/>
        <v>0</v>
      </c>
      <c r="AW25" s="126">
        <f t="shared" si="17"/>
        <v>0</v>
      </c>
      <c r="AX25" s="126">
        <f t="shared" si="18"/>
        <v>0</v>
      </c>
      <c r="AY25" s="126">
        <f t="shared" si="19"/>
        <v>0</v>
      </c>
      <c r="AZ25" s="126">
        <f t="shared" si="20"/>
        <v>0</v>
      </c>
      <c r="BA25" s="126">
        <f t="shared" si="21"/>
        <v>0</v>
      </c>
      <c r="BB25" s="126">
        <f t="shared" si="22"/>
        <v>0</v>
      </c>
      <c r="BC25" s="126">
        <f t="shared" si="23"/>
        <v>0</v>
      </c>
      <c r="BD25" s="126">
        <f t="shared" si="24"/>
        <v>0</v>
      </c>
      <c r="BE25" s="126">
        <f t="shared" si="25"/>
        <v>0</v>
      </c>
      <c r="BF25" s="126">
        <f t="shared" si="26"/>
        <v>0</v>
      </c>
      <c r="BG25" s="126">
        <f t="shared" si="27"/>
        <v>0</v>
      </c>
      <c r="BH25" s="126">
        <f t="shared" si="28"/>
        <v>0</v>
      </c>
      <c r="BI25" s="126">
        <f t="shared" si="29"/>
        <v>0</v>
      </c>
      <c r="BJ25" s="126">
        <f t="shared" si="30"/>
        <v>0</v>
      </c>
      <c r="BK25" s="126">
        <f t="shared" si="31"/>
        <v>0</v>
      </c>
      <c r="BL25" s="126">
        <f t="shared" si="32"/>
        <v>0</v>
      </c>
      <c r="BM25" s="126">
        <f t="shared" si="33"/>
        <v>0</v>
      </c>
      <c r="BN25" s="126">
        <f t="shared" si="34"/>
        <v>0</v>
      </c>
      <c r="BO25" s="126">
        <f t="shared" si="35"/>
        <v>0</v>
      </c>
      <c r="BP25" s="126">
        <f t="shared" si="36"/>
        <v>0</v>
      </c>
      <c r="BQ25" s="126">
        <f t="shared" si="37"/>
        <v>0</v>
      </c>
      <c r="BR25" s="126">
        <f t="shared" si="38"/>
        <v>0</v>
      </c>
      <c r="BS25" s="126">
        <f t="shared" si="39"/>
        <v>0</v>
      </c>
      <c r="BT25" s="126">
        <f t="shared" si="40"/>
        <v>0</v>
      </c>
      <c r="BU25" s="126">
        <f t="shared" si="41"/>
        <v>0</v>
      </c>
      <c r="BV25" s="126">
        <f t="shared" si="42"/>
        <v>0</v>
      </c>
      <c r="BW25" s="126">
        <f t="shared" si="43"/>
        <v>0</v>
      </c>
      <c r="BX25" s="126">
        <f t="shared" si="44"/>
        <v>0</v>
      </c>
      <c r="BY25" s="126">
        <f t="shared" si="45"/>
        <v>0</v>
      </c>
      <c r="BZ25" s="126">
        <f t="shared" si="46"/>
        <v>0</v>
      </c>
      <c r="CA25" s="126">
        <f t="shared" si="47"/>
        <v>0</v>
      </c>
      <c r="CB25" s="126">
        <f t="shared" si="48"/>
        <v>0</v>
      </c>
      <c r="CC25" s="126">
        <f t="shared" si="49"/>
        <v>0</v>
      </c>
      <c r="CD25" s="126">
        <f t="shared" si="50"/>
        <v>0</v>
      </c>
      <c r="CE25" s="126">
        <f t="shared" si="51"/>
        <v>0</v>
      </c>
      <c r="CF25" s="126">
        <f t="shared" si="52"/>
        <v>0</v>
      </c>
      <c r="CG25" s="126">
        <f t="shared" si="53"/>
        <v>0</v>
      </c>
      <c r="CH25" s="126">
        <f t="shared" si="54"/>
        <v>0</v>
      </c>
      <c r="CI25" s="126">
        <f t="shared" si="55"/>
        <v>0</v>
      </c>
      <c r="CJ25" s="126">
        <f t="shared" si="56"/>
        <v>0</v>
      </c>
      <c r="CK25" s="126"/>
    </row>
    <row r="26" spans="1:89" ht="9.75" customHeight="1">
      <c r="A26" s="126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 t="str">
        <f>'Construction and Materials'!B40</f>
        <v>Pick Assembly</v>
      </c>
      <c r="Q26" s="126" t="str">
        <f>'Construction and Materials'!C40</f>
        <v>Pick Type</v>
      </c>
      <c r="R26" s="129">
        <f>'Construction and Materials'!D40</f>
        <v>0</v>
      </c>
      <c r="S26" s="130">
        <f>IF(NOT(Q26="Pick Type"),VLOOKUP(Q26,'LCA Data'!$C$8:$S$107,6,FALSE)*Lists!R26,0)</f>
        <v>0</v>
      </c>
      <c r="T26" s="131">
        <f>IF(NOT(Q26="Pick Type"),VLOOKUP(Q26,'LCA Data'!$C$8:$S$107,10,FALSE)*Lists!R26,0)</f>
        <v>0</v>
      </c>
      <c r="U26" s="132">
        <f>IF(NOT(Q26="Pick Type"),VLOOKUP(Q26,'LCA Data'!$C$8:$S$107,14,FALSE)*Lists!R26,0)</f>
        <v>0</v>
      </c>
      <c r="V26" s="133">
        <f t="shared" si="1"/>
        <v>0</v>
      </c>
      <c r="W26" s="130">
        <f>IF(NOT(Q26="Pick Type"),VLOOKUP(Q26,'LCA Data'!$C$8:$S$107,7,FALSE)*Lists!R26,0)</f>
        <v>0</v>
      </c>
      <c r="X26" s="131">
        <f>IF(NOT(Q26="Pick Type"),VLOOKUP(Q26,'LCA Data'!$C$8:$S$107,11,FALSE)*Lists!R26,0)</f>
        <v>0</v>
      </c>
      <c r="Y26" s="132">
        <f>IF(NOT(Q26="Pick Type"),VLOOKUP(Q26,'LCA Data'!$C$8:$S$107,15,FALSE)*Lists!R26,0)</f>
        <v>0</v>
      </c>
      <c r="Z26" s="133">
        <f t="shared" si="2"/>
        <v>0</v>
      </c>
      <c r="AA26" s="130">
        <f>IF(NOT(Q26="Pick Type"),VLOOKUP(Q26,'LCA Data'!$C$8:$S$107,8,FALSE)*Lists!R26,0)</f>
        <v>0</v>
      </c>
      <c r="AB26" s="131">
        <f>IF(NOT(Q26="Pick Type"),VLOOKUP(Q26,'LCA Data'!$C$8:$S$107,12,FALSE)*Lists!R26,0)</f>
        <v>0</v>
      </c>
      <c r="AC26" s="132">
        <f>IF(NOT(Q26="Pick Type"),VLOOKUP(Q26,'LCA Data'!$C$8:$S$107,16,FALSE)*Lists!R26,0)</f>
        <v>0</v>
      </c>
      <c r="AD26" s="133">
        <f t="shared" si="3"/>
        <v>0</v>
      </c>
      <c r="AE26" s="134">
        <f>IF(NOT(Q26="Pick Type"),VLOOKUP(Q26,'LCA Data'!$C$8:$S$107,9,FALSE)*Lists!R26,0)</f>
        <v>0</v>
      </c>
      <c r="AF26" s="135">
        <f>IF(NOT(Q26="Pick Type"),VLOOKUP(Q26,'LCA Data'!$C$8:$S$107,13,FALSE)*Lists!R26,0)</f>
        <v>0</v>
      </c>
      <c r="AG26" s="136">
        <f>IF(NOT(Q26="Pick Type"),VLOOKUP(Q26,'LCA Data'!$C$8:$S$107,17,FALSE)*Lists!R26,0)</f>
        <v>0</v>
      </c>
      <c r="AH26" s="137">
        <f t="shared" si="4"/>
        <v>0</v>
      </c>
      <c r="AI26" s="126" t="e">
        <f t="shared" si="5"/>
        <v>#N/A</v>
      </c>
      <c r="AJ26" s="126"/>
      <c r="AK26" s="138" t="s">
        <v>312</v>
      </c>
      <c r="AL26" s="129">
        <f t="shared" si="6"/>
        <v>0</v>
      </c>
      <c r="AM26" s="126">
        <f t="shared" si="7"/>
        <v>0</v>
      </c>
      <c r="AN26" s="126">
        <f t="shared" si="8"/>
        <v>0</v>
      </c>
      <c r="AO26" s="126">
        <f t="shared" si="9"/>
        <v>0</v>
      </c>
      <c r="AP26" s="126">
        <f t="shared" si="10"/>
        <v>0</v>
      </c>
      <c r="AQ26" s="126">
        <f t="shared" si="11"/>
        <v>0</v>
      </c>
      <c r="AR26" s="126">
        <f t="shared" si="12"/>
        <v>0</v>
      </c>
      <c r="AS26" s="126">
        <f t="shared" si="13"/>
        <v>0</v>
      </c>
      <c r="AT26" s="126">
        <f t="shared" si="14"/>
        <v>0</v>
      </c>
      <c r="AU26" s="126">
        <f t="shared" si="15"/>
        <v>0</v>
      </c>
      <c r="AV26" s="126">
        <f t="shared" si="16"/>
        <v>0</v>
      </c>
      <c r="AW26" s="126">
        <f t="shared" si="17"/>
        <v>0</v>
      </c>
      <c r="AX26" s="126">
        <f t="shared" si="18"/>
        <v>0</v>
      </c>
      <c r="AY26" s="126">
        <f t="shared" si="19"/>
        <v>0</v>
      </c>
      <c r="AZ26" s="126">
        <f t="shared" si="20"/>
        <v>0</v>
      </c>
      <c r="BA26" s="126">
        <f t="shared" si="21"/>
        <v>0</v>
      </c>
      <c r="BB26" s="126">
        <f t="shared" si="22"/>
        <v>0</v>
      </c>
      <c r="BC26" s="126">
        <f t="shared" si="23"/>
        <v>0</v>
      </c>
      <c r="BD26" s="126">
        <f t="shared" si="24"/>
        <v>0</v>
      </c>
      <c r="BE26" s="126">
        <f t="shared" si="25"/>
        <v>0</v>
      </c>
      <c r="BF26" s="126">
        <f t="shared" si="26"/>
        <v>0</v>
      </c>
      <c r="BG26" s="126">
        <f t="shared" si="27"/>
        <v>0</v>
      </c>
      <c r="BH26" s="126">
        <f t="shared" si="28"/>
        <v>0</v>
      </c>
      <c r="BI26" s="126">
        <f t="shared" si="29"/>
        <v>0</v>
      </c>
      <c r="BJ26" s="126">
        <f t="shared" si="30"/>
        <v>0</v>
      </c>
      <c r="BK26" s="126">
        <f t="shared" si="31"/>
        <v>0</v>
      </c>
      <c r="BL26" s="126">
        <f t="shared" si="32"/>
        <v>0</v>
      </c>
      <c r="BM26" s="126">
        <f t="shared" si="33"/>
        <v>0</v>
      </c>
      <c r="BN26" s="126">
        <f t="shared" si="34"/>
        <v>0</v>
      </c>
      <c r="BO26" s="126">
        <f t="shared" si="35"/>
        <v>0</v>
      </c>
      <c r="BP26" s="126">
        <f t="shared" si="36"/>
        <v>0</v>
      </c>
      <c r="BQ26" s="126">
        <f t="shared" si="37"/>
        <v>0</v>
      </c>
      <c r="BR26" s="126">
        <f t="shared" si="38"/>
        <v>0</v>
      </c>
      <c r="BS26" s="126">
        <f t="shared" si="39"/>
        <v>0</v>
      </c>
      <c r="BT26" s="126">
        <f t="shared" si="40"/>
        <v>0</v>
      </c>
      <c r="BU26" s="126">
        <f t="shared" si="41"/>
        <v>0</v>
      </c>
      <c r="BV26" s="126">
        <f t="shared" si="42"/>
        <v>0</v>
      </c>
      <c r="BW26" s="126">
        <f t="shared" si="43"/>
        <v>0</v>
      </c>
      <c r="BX26" s="126">
        <f t="shared" si="44"/>
        <v>0</v>
      </c>
      <c r="BY26" s="126">
        <f t="shared" si="45"/>
        <v>0</v>
      </c>
      <c r="BZ26" s="126">
        <f t="shared" si="46"/>
        <v>0</v>
      </c>
      <c r="CA26" s="126">
        <f t="shared" si="47"/>
        <v>0</v>
      </c>
      <c r="CB26" s="126">
        <f t="shared" si="48"/>
        <v>0</v>
      </c>
      <c r="CC26" s="126">
        <f t="shared" si="49"/>
        <v>0</v>
      </c>
      <c r="CD26" s="126">
        <f t="shared" si="50"/>
        <v>0</v>
      </c>
      <c r="CE26" s="126">
        <f t="shared" si="51"/>
        <v>0</v>
      </c>
      <c r="CF26" s="126">
        <f t="shared" si="52"/>
        <v>0</v>
      </c>
      <c r="CG26" s="126">
        <f t="shared" si="53"/>
        <v>0</v>
      </c>
      <c r="CH26" s="126">
        <f t="shared" si="54"/>
        <v>0</v>
      </c>
      <c r="CI26" s="126">
        <f t="shared" si="55"/>
        <v>0</v>
      </c>
      <c r="CJ26" s="126">
        <f t="shared" si="56"/>
        <v>0</v>
      </c>
      <c r="CK26" s="126"/>
    </row>
    <row r="27" spans="1:89" ht="9.75" customHeight="1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 t="str">
        <f>'Construction and Materials'!B41</f>
        <v>Pick Assembly</v>
      </c>
      <c r="Q27" s="126" t="str">
        <f>'Construction and Materials'!C41</f>
        <v>Pick Type</v>
      </c>
      <c r="R27" s="129">
        <f>'Construction and Materials'!D41</f>
        <v>0</v>
      </c>
      <c r="S27" s="130">
        <f>IF(NOT(Q27="Pick Type"),VLOOKUP(Q27,'LCA Data'!$C$8:$S$107,6,FALSE)*Lists!R27,0)</f>
        <v>0</v>
      </c>
      <c r="T27" s="131">
        <f>IF(NOT(Q27="Pick Type"),VLOOKUP(Q27,'LCA Data'!$C$8:$S$107,10,FALSE)*Lists!R27,0)</f>
        <v>0</v>
      </c>
      <c r="U27" s="132">
        <f>IF(NOT(Q27="Pick Type"),VLOOKUP(Q27,'LCA Data'!$C$8:$S$107,14,FALSE)*Lists!R27,0)</f>
        <v>0</v>
      </c>
      <c r="V27" s="133">
        <f t="shared" si="1"/>
        <v>0</v>
      </c>
      <c r="W27" s="130">
        <f>IF(NOT(Q27="Pick Type"),VLOOKUP(Q27,'LCA Data'!$C$8:$S$107,7,FALSE)*Lists!R27,0)</f>
        <v>0</v>
      </c>
      <c r="X27" s="131">
        <f>IF(NOT(Q27="Pick Type"),VLOOKUP(Q27,'LCA Data'!$C$8:$S$107,11,FALSE)*Lists!R27,0)</f>
        <v>0</v>
      </c>
      <c r="Y27" s="132">
        <f>IF(NOT(Q27="Pick Type"),VLOOKUP(Q27,'LCA Data'!$C$8:$S$107,15,FALSE)*Lists!R27,0)</f>
        <v>0</v>
      </c>
      <c r="Z27" s="133">
        <f t="shared" si="2"/>
        <v>0</v>
      </c>
      <c r="AA27" s="130">
        <f>IF(NOT(Q27="Pick Type"),VLOOKUP(Q27,'LCA Data'!$C$8:$S$107,8,FALSE)*Lists!R27,0)</f>
        <v>0</v>
      </c>
      <c r="AB27" s="131">
        <f>IF(NOT(Q27="Pick Type"),VLOOKUP(Q27,'LCA Data'!$C$8:$S$107,12,FALSE)*Lists!R27,0)</f>
        <v>0</v>
      </c>
      <c r="AC27" s="132">
        <f>IF(NOT(Q27="Pick Type"),VLOOKUP(Q27,'LCA Data'!$C$8:$S$107,16,FALSE)*Lists!R27,0)</f>
        <v>0</v>
      </c>
      <c r="AD27" s="133">
        <f t="shared" si="3"/>
        <v>0</v>
      </c>
      <c r="AE27" s="134">
        <f>IF(NOT(Q27="Pick Type"),VLOOKUP(Q27,'LCA Data'!$C$8:$S$107,9,FALSE)*Lists!R27,0)</f>
        <v>0</v>
      </c>
      <c r="AF27" s="135">
        <f>IF(NOT(Q27="Pick Type"),VLOOKUP(Q27,'LCA Data'!$C$8:$S$107,13,FALSE)*Lists!R27,0)</f>
        <v>0</v>
      </c>
      <c r="AG27" s="136">
        <f>IF(NOT(Q27="Pick Type"),VLOOKUP(Q27,'LCA Data'!$C$8:$S$107,17,FALSE)*Lists!R27,0)</f>
        <v>0</v>
      </c>
      <c r="AH27" s="137">
        <f t="shared" si="4"/>
        <v>0</v>
      </c>
      <c r="AI27" s="126" t="e">
        <f t="shared" si="5"/>
        <v>#N/A</v>
      </c>
      <c r="AJ27" s="126"/>
      <c r="AK27" s="138" t="s">
        <v>312</v>
      </c>
      <c r="AL27" s="129">
        <f t="shared" si="6"/>
        <v>0</v>
      </c>
      <c r="AM27" s="126">
        <f t="shared" si="7"/>
        <v>0</v>
      </c>
      <c r="AN27" s="126">
        <f t="shared" si="8"/>
        <v>0</v>
      </c>
      <c r="AO27" s="126">
        <f t="shared" si="9"/>
        <v>0</v>
      </c>
      <c r="AP27" s="126">
        <f t="shared" si="10"/>
        <v>0</v>
      </c>
      <c r="AQ27" s="126">
        <f t="shared" si="11"/>
        <v>0</v>
      </c>
      <c r="AR27" s="126">
        <f t="shared" si="12"/>
        <v>0</v>
      </c>
      <c r="AS27" s="126">
        <f t="shared" si="13"/>
        <v>0</v>
      </c>
      <c r="AT27" s="126">
        <f t="shared" si="14"/>
        <v>0</v>
      </c>
      <c r="AU27" s="126">
        <f t="shared" si="15"/>
        <v>0</v>
      </c>
      <c r="AV27" s="126">
        <f t="shared" si="16"/>
        <v>0</v>
      </c>
      <c r="AW27" s="126">
        <f t="shared" si="17"/>
        <v>0</v>
      </c>
      <c r="AX27" s="126">
        <f t="shared" si="18"/>
        <v>0</v>
      </c>
      <c r="AY27" s="126">
        <f t="shared" si="19"/>
        <v>0</v>
      </c>
      <c r="AZ27" s="126">
        <f t="shared" si="20"/>
        <v>0</v>
      </c>
      <c r="BA27" s="126">
        <f t="shared" si="21"/>
        <v>0</v>
      </c>
      <c r="BB27" s="126">
        <f t="shared" si="22"/>
        <v>0</v>
      </c>
      <c r="BC27" s="126">
        <f t="shared" si="23"/>
        <v>0</v>
      </c>
      <c r="BD27" s="126">
        <f t="shared" si="24"/>
        <v>0</v>
      </c>
      <c r="BE27" s="126">
        <f t="shared" si="25"/>
        <v>0</v>
      </c>
      <c r="BF27" s="126">
        <f t="shared" si="26"/>
        <v>0</v>
      </c>
      <c r="BG27" s="126">
        <f t="shared" si="27"/>
        <v>0</v>
      </c>
      <c r="BH27" s="126">
        <f t="shared" si="28"/>
        <v>0</v>
      </c>
      <c r="BI27" s="126">
        <f t="shared" si="29"/>
        <v>0</v>
      </c>
      <c r="BJ27" s="126">
        <f t="shared" si="30"/>
        <v>0</v>
      </c>
      <c r="BK27" s="126">
        <f t="shared" si="31"/>
        <v>0</v>
      </c>
      <c r="BL27" s="126">
        <f t="shared" si="32"/>
        <v>0</v>
      </c>
      <c r="BM27" s="126">
        <f t="shared" si="33"/>
        <v>0</v>
      </c>
      <c r="BN27" s="126">
        <f t="shared" si="34"/>
        <v>0</v>
      </c>
      <c r="BO27" s="126">
        <f t="shared" si="35"/>
        <v>0</v>
      </c>
      <c r="BP27" s="126">
        <f t="shared" si="36"/>
        <v>0</v>
      </c>
      <c r="BQ27" s="126">
        <f t="shared" si="37"/>
        <v>0</v>
      </c>
      <c r="BR27" s="126">
        <f t="shared" si="38"/>
        <v>0</v>
      </c>
      <c r="BS27" s="126">
        <f t="shared" si="39"/>
        <v>0</v>
      </c>
      <c r="BT27" s="126">
        <f t="shared" si="40"/>
        <v>0</v>
      </c>
      <c r="BU27" s="126">
        <f t="shared" si="41"/>
        <v>0</v>
      </c>
      <c r="BV27" s="126">
        <f t="shared" si="42"/>
        <v>0</v>
      </c>
      <c r="BW27" s="126">
        <f t="shared" si="43"/>
        <v>0</v>
      </c>
      <c r="BX27" s="126">
        <f t="shared" si="44"/>
        <v>0</v>
      </c>
      <c r="BY27" s="126">
        <f t="shared" si="45"/>
        <v>0</v>
      </c>
      <c r="BZ27" s="126">
        <f t="shared" si="46"/>
        <v>0</v>
      </c>
      <c r="CA27" s="126">
        <f t="shared" si="47"/>
        <v>0</v>
      </c>
      <c r="CB27" s="126">
        <f t="shared" si="48"/>
        <v>0</v>
      </c>
      <c r="CC27" s="126">
        <f t="shared" si="49"/>
        <v>0</v>
      </c>
      <c r="CD27" s="126">
        <f t="shared" si="50"/>
        <v>0</v>
      </c>
      <c r="CE27" s="126">
        <f t="shared" si="51"/>
        <v>0</v>
      </c>
      <c r="CF27" s="126">
        <f t="shared" si="52"/>
        <v>0</v>
      </c>
      <c r="CG27" s="126">
        <f t="shared" si="53"/>
        <v>0</v>
      </c>
      <c r="CH27" s="126">
        <f t="shared" si="54"/>
        <v>0</v>
      </c>
      <c r="CI27" s="126">
        <f t="shared" si="55"/>
        <v>0</v>
      </c>
      <c r="CJ27" s="126">
        <f t="shared" si="56"/>
        <v>0</v>
      </c>
      <c r="CK27" s="126"/>
    </row>
    <row r="28" spans="1:89" ht="9.75" customHeight="1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 t="str">
        <f>'Construction and Materials'!B42</f>
        <v>Pick Assembly</v>
      </c>
      <c r="Q28" s="126" t="str">
        <f>'Construction and Materials'!C42</f>
        <v>Pick Type</v>
      </c>
      <c r="R28" s="129">
        <f>'Construction and Materials'!D42</f>
        <v>0</v>
      </c>
      <c r="S28" s="130">
        <f>IF(NOT(Q28="Pick Type"),VLOOKUP(Q28,'LCA Data'!$C$8:$S$107,6,FALSE)*Lists!R28,0)</f>
        <v>0</v>
      </c>
      <c r="T28" s="131">
        <f>IF(NOT(Q28="Pick Type"),VLOOKUP(Q28,'LCA Data'!$C$8:$S$107,10,FALSE)*Lists!R28,0)</f>
        <v>0</v>
      </c>
      <c r="U28" s="132">
        <f>IF(NOT(Q28="Pick Type"),VLOOKUP(Q28,'LCA Data'!$C$8:$S$107,14,FALSE)*Lists!R28,0)</f>
        <v>0</v>
      </c>
      <c r="V28" s="133">
        <f t="shared" si="1"/>
        <v>0</v>
      </c>
      <c r="W28" s="130">
        <f>IF(NOT(Q28="Pick Type"),VLOOKUP(Q28,'LCA Data'!$C$8:$S$107,7,FALSE)*Lists!R28,0)</f>
        <v>0</v>
      </c>
      <c r="X28" s="131">
        <f>IF(NOT(Q28="Pick Type"),VLOOKUP(Q28,'LCA Data'!$C$8:$S$107,11,FALSE)*Lists!R28,0)</f>
        <v>0</v>
      </c>
      <c r="Y28" s="132">
        <f>IF(NOT(Q28="Pick Type"),VLOOKUP(Q28,'LCA Data'!$C$8:$S$107,15,FALSE)*Lists!R28,0)</f>
        <v>0</v>
      </c>
      <c r="Z28" s="133">
        <f t="shared" si="2"/>
        <v>0</v>
      </c>
      <c r="AA28" s="130">
        <f>IF(NOT(Q28="Pick Type"),VLOOKUP(Q28,'LCA Data'!$C$8:$S$107,8,FALSE)*Lists!R28,0)</f>
        <v>0</v>
      </c>
      <c r="AB28" s="131">
        <f>IF(NOT(Q28="Pick Type"),VLOOKUP(Q28,'LCA Data'!$C$8:$S$107,12,FALSE)*Lists!R28,0)</f>
        <v>0</v>
      </c>
      <c r="AC28" s="132">
        <f>IF(NOT(Q28="Pick Type"),VLOOKUP(Q28,'LCA Data'!$C$8:$S$107,16,FALSE)*Lists!R28,0)</f>
        <v>0</v>
      </c>
      <c r="AD28" s="133">
        <f t="shared" si="3"/>
        <v>0</v>
      </c>
      <c r="AE28" s="134">
        <f>IF(NOT(Q28="Pick Type"),VLOOKUP(Q28,'LCA Data'!$C$8:$S$107,9,FALSE)*Lists!R28,0)</f>
        <v>0</v>
      </c>
      <c r="AF28" s="135">
        <f>IF(NOT(Q28="Pick Type"),VLOOKUP(Q28,'LCA Data'!$C$8:$S$107,13,FALSE)*Lists!R28,0)</f>
        <v>0</v>
      </c>
      <c r="AG28" s="136">
        <f>IF(NOT(Q28="Pick Type"),VLOOKUP(Q28,'LCA Data'!$C$8:$S$107,17,FALSE)*Lists!R28,0)</f>
        <v>0</v>
      </c>
      <c r="AH28" s="137">
        <f t="shared" si="4"/>
        <v>0</v>
      </c>
      <c r="AI28" s="126" t="e">
        <f t="shared" si="5"/>
        <v>#N/A</v>
      </c>
      <c r="AJ28" s="126"/>
      <c r="AK28" s="138" t="s">
        <v>312</v>
      </c>
      <c r="AL28" s="129">
        <f t="shared" si="6"/>
        <v>0</v>
      </c>
      <c r="AM28" s="126">
        <f t="shared" si="7"/>
        <v>0</v>
      </c>
      <c r="AN28" s="126">
        <f t="shared" si="8"/>
        <v>0</v>
      </c>
      <c r="AO28" s="126">
        <f t="shared" si="9"/>
        <v>0</v>
      </c>
      <c r="AP28" s="126">
        <f t="shared" si="10"/>
        <v>0</v>
      </c>
      <c r="AQ28" s="126">
        <f t="shared" si="11"/>
        <v>0</v>
      </c>
      <c r="AR28" s="126">
        <f t="shared" si="12"/>
        <v>0</v>
      </c>
      <c r="AS28" s="126">
        <f t="shared" si="13"/>
        <v>0</v>
      </c>
      <c r="AT28" s="126">
        <f t="shared" si="14"/>
        <v>0</v>
      </c>
      <c r="AU28" s="126">
        <f t="shared" si="15"/>
        <v>0</v>
      </c>
      <c r="AV28" s="126">
        <f t="shared" si="16"/>
        <v>0</v>
      </c>
      <c r="AW28" s="126">
        <f t="shared" si="17"/>
        <v>0</v>
      </c>
      <c r="AX28" s="126">
        <f t="shared" si="18"/>
        <v>0</v>
      </c>
      <c r="AY28" s="126">
        <f t="shared" si="19"/>
        <v>0</v>
      </c>
      <c r="AZ28" s="126">
        <f t="shared" si="20"/>
        <v>0</v>
      </c>
      <c r="BA28" s="126">
        <f t="shared" si="21"/>
        <v>0</v>
      </c>
      <c r="BB28" s="126">
        <f t="shared" si="22"/>
        <v>0</v>
      </c>
      <c r="BC28" s="126">
        <f t="shared" si="23"/>
        <v>0</v>
      </c>
      <c r="BD28" s="126">
        <f t="shared" si="24"/>
        <v>0</v>
      </c>
      <c r="BE28" s="126">
        <f t="shared" si="25"/>
        <v>0</v>
      </c>
      <c r="BF28" s="126">
        <f t="shared" si="26"/>
        <v>0</v>
      </c>
      <c r="BG28" s="126">
        <f t="shared" si="27"/>
        <v>0</v>
      </c>
      <c r="BH28" s="126">
        <f t="shared" si="28"/>
        <v>0</v>
      </c>
      <c r="BI28" s="126">
        <f t="shared" si="29"/>
        <v>0</v>
      </c>
      <c r="BJ28" s="126">
        <f t="shared" si="30"/>
        <v>0</v>
      </c>
      <c r="BK28" s="126">
        <f t="shared" si="31"/>
        <v>0</v>
      </c>
      <c r="BL28" s="126">
        <f t="shared" si="32"/>
        <v>0</v>
      </c>
      <c r="BM28" s="126">
        <f t="shared" si="33"/>
        <v>0</v>
      </c>
      <c r="BN28" s="126">
        <f t="shared" si="34"/>
        <v>0</v>
      </c>
      <c r="BO28" s="126">
        <f t="shared" si="35"/>
        <v>0</v>
      </c>
      <c r="BP28" s="126">
        <f t="shared" si="36"/>
        <v>0</v>
      </c>
      <c r="BQ28" s="126">
        <f t="shared" si="37"/>
        <v>0</v>
      </c>
      <c r="BR28" s="126">
        <f t="shared" si="38"/>
        <v>0</v>
      </c>
      <c r="BS28" s="126">
        <f t="shared" si="39"/>
        <v>0</v>
      </c>
      <c r="BT28" s="126">
        <f t="shared" si="40"/>
        <v>0</v>
      </c>
      <c r="BU28" s="126">
        <f t="shared" si="41"/>
        <v>0</v>
      </c>
      <c r="BV28" s="126">
        <f t="shared" si="42"/>
        <v>0</v>
      </c>
      <c r="BW28" s="126">
        <f t="shared" si="43"/>
        <v>0</v>
      </c>
      <c r="BX28" s="126">
        <f t="shared" si="44"/>
        <v>0</v>
      </c>
      <c r="BY28" s="126">
        <f t="shared" si="45"/>
        <v>0</v>
      </c>
      <c r="BZ28" s="126">
        <f t="shared" si="46"/>
        <v>0</v>
      </c>
      <c r="CA28" s="126">
        <f t="shared" si="47"/>
        <v>0</v>
      </c>
      <c r="CB28" s="126">
        <f t="shared" si="48"/>
        <v>0</v>
      </c>
      <c r="CC28" s="126">
        <f t="shared" si="49"/>
        <v>0</v>
      </c>
      <c r="CD28" s="126">
        <f t="shared" si="50"/>
        <v>0</v>
      </c>
      <c r="CE28" s="126">
        <f t="shared" si="51"/>
        <v>0</v>
      </c>
      <c r="CF28" s="126">
        <f t="shared" si="52"/>
        <v>0</v>
      </c>
      <c r="CG28" s="126">
        <f t="shared" si="53"/>
        <v>0</v>
      </c>
      <c r="CH28" s="126">
        <f t="shared" si="54"/>
        <v>0</v>
      </c>
      <c r="CI28" s="126">
        <f t="shared" si="55"/>
        <v>0</v>
      </c>
      <c r="CJ28" s="126">
        <f t="shared" si="56"/>
        <v>0</v>
      </c>
      <c r="CK28" s="126"/>
    </row>
    <row r="29" spans="1:89" ht="9.75" customHeight="1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 t="str">
        <f>'Construction and Materials'!B43</f>
        <v>Pick Assembly</v>
      </c>
      <c r="Q29" s="126" t="str">
        <f>'Construction and Materials'!C43</f>
        <v>Pick Type</v>
      </c>
      <c r="R29" s="129">
        <f>'Construction and Materials'!D43</f>
        <v>0</v>
      </c>
      <c r="S29" s="130">
        <f>IF(NOT(Q29="Pick Type"),VLOOKUP(Q29,'LCA Data'!$C$8:$S$107,6,FALSE)*Lists!R29,0)</f>
        <v>0</v>
      </c>
      <c r="T29" s="131">
        <f>IF(NOT(Q29="Pick Type"),VLOOKUP(Q29,'LCA Data'!$C$8:$S$107,10,FALSE)*Lists!R29,0)</f>
        <v>0</v>
      </c>
      <c r="U29" s="132">
        <f>IF(NOT(Q29="Pick Type"),VLOOKUP(Q29,'LCA Data'!$C$8:$S$107,14,FALSE)*Lists!R29,0)</f>
        <v>0</v>
      </c>
      <c r="V29" s="133">
        <f t="shared" si="1"/>
        <v>0</v>
      </c>
      <c r="W29" s="130">
        <f>IF(NOT(Q29="Pick Type"),VLOOKUP(Q29,'LCA Data'!$C$8:$S$107,7,FALSE)*Lists!R29,0)</f>
        <v>0</v>
      </c>
      <c r="X29" s="131">
        <f>IF(NOT(Q29="Pick Type"),VLOOKUP(Q29,'LCA Data'!$C$8:$S$107,11,FALSE)*Lists!R29,0)</f>
        <v>0</v>
      </c>
      <c r="Y29" s="132">
        <f>IF(NOT(Q29="Pick Type"),VLOOKUP(Q29,'LCA Data'!$C$8:$S$107,15,FALSE)*Lists!R29,0)</f>
        <v>0</v>
      </c>
      <c r="Z29" s="133">
        <f t="shared" si="2"/>
        <v>0</v>
      </c>
      <c r="AA29" s="130">
        <f>IF(NOT(Q29="Pick Type"),VLOOKUP(Q29,'LCA Data'!$C$8:$S$107,8,FALSE)*Lists!R29,0)</f>
        <v>0</v>
      </c>
      <c r="AB29" s="131">
        <f>IF(NOT(Q29="Pick Type"),VLOOKUP(Q29,'LCA Data'!$C$8:$S$107,12,FALSE)*Lists!R29,0)</f>
        <v>0</v>
      </c>
      <c r="AC29" s="132">
        <f>IF(NOT(Q29="Pick Type"),VLOOKUP(Q29,'LCA Data'!$C$8:$S$107,16,FALSE)*Lists!R29,0)</f>
        <v>0</v>
      </c>
      <c r="AD29" s="133">
        <f t="shared" si="3"/>
        <v>0</v>
      </c>
      <c r="AE29" s="134">
        <f>IF(NOT(Q29="Pick Type"),VLOOKUP(Q29,'LCA Data'!$C$8:$S$107,9,FALSE)*Lists!R29,0)</f>
        <v>0</v>
      </c>
      <c r="AF29" s="135">
        <f>IF(NOT(Q29="Pick Type"),VLOOKUP(Q29,'LCA Data'!$C$8:$S$107,13,FALSE)*Lists!R29,0)</f>
        <v>0</v>
      </c>
      <c r="AG29" s="136">
        <f>IF(NOT(Q29="Pick Type"),VLOOKUP(Q29,'LCA Data'!$C$8:$S$107,17,FALSE)*Lists!R29,0)</f>
        <v>0</v>
      </c>
      <c r="AH29" s="137">
        <f t="shared" si="4"/>
        <v>0</v>
      </c>
      <c r="AI29" s="126" t="e">
        <f t="shared" si="5"/>
        <v>#N/A</v>
      </c>
      <c r="AJ29" s="126"/>
      <c r="AK29" s="138" t="s">
        <v>312</v>
      </c>
      <c r="AL29" s="129">
        <f t="shared" si="6"/>
        <v>0</v>
      </c>
      <c r="AM29" s="126">
        <f t="shared" si="7"/>
        <v>0</v>
      </c>
      <c r="AN29" s="126">
        <f t="shared" si="8"/>
        <v>0</v>
      </c>
      <c r="AO29" s="126">
        <f t="shared" si="9"/>
        <v>0</v>
      </c>
      <c r="AP29" s="126">
        <f t="shared" si="10"/>
        <v>0</v>
      </c>
      <c r="AQ29" s="126">
        <f t="shared" si="11"/>
        <v>0</v>
      </c>
      <c r="AR29" s="126">
        <f t="shared" si="12"/>
        <v>0</v>
      </c>
      <c r="AS29" s="126">
        <f t="shared" si="13"/>
        <v>0</v>
      </c>
      <c r="AT29" s="126">
        <f t="shared" si="14"/>
        <v>0</v>
      </c>
      <c r="AU29" s="126">
        <f t="shared" si="15"/>
        <v>0</v>
      </c>
      <c r="AV29" s="126">
        <f t="shared" si="16"/>
        <v>0</v>
      </c>
      <c r="AW29" s="126">
        <f t="shared" si="17"/>
        <v>0</v>
      </c>
      <c r="AX29" s="126">
        <f t="shared" si="18"/>
        <v>0</v>
      </c>
      <c r="AY29" s="126">
        <f t="shared" si="19"/>
        <v>0</v>
      </c>
      <c r="AZ29" s="126">
        <f t="shared" si="20"/>
        <v>0</v>
      </c>
      <c r="BA29" s="126">
        <f t="shared" si="21"/>
        <v>0</v>
      </c>
      <c r="BB29" s="126">
        <f t="shared" si="22"/>
        <v>0</v>
      </c>
      <c r="BC29" s="126">
        <f t="shared" si="23"/>
        <v>0</v>
      </c>
      <c r="BD29" s="126">
        <f t="shared" si="24"/>
        <v>0</v>
      </c>
      <c r="BE29" s="126">
        <f t="shared" si="25"/>
        <v>0</v>
      </c>
      <c r="BF29" s="126">
        <f t="shared" si="26"/>
        <v>0</v>
      </c>
      <c r="BG29" s="126">
        <f t="shared" si="27"/>
        <v>0</v>
      </c>
      <c r="BH29" s="126">
        <f t="shared" si="28"/>
        <v>0</v>
      </c>
      <c r="BI29" s="126">
        <f t="shared" si="29"/>
        <v>0</v>
      </c>
      <c r="BJ29" s="126">
        <f t="shared" si="30"/>
        <v>0</v>
      </c>
      <c r="BK29" s="126">
        <f t="shared" si="31"/>
        <v>0</v>
      </c>
      <c r="BL29" s="126">
        <f t="shared" si="32"/>
        <v>0</v>
      </c>
      <c r="BM29" s="126">
        <f t="shared" si="33"/>
        <v>0</v>
      </c>
      <c r="BN29" s="126">
        <f t="shared" si="34"/>
        <v>0</v>
      </c>
      <c r="BO29" s="126">
        <f t="shared" si="35"/>
        <v>0</v>
      </c>
      <c r="BP29" s="126">
        <f t="shared" si="36"/>
        <v>0</v>
      </c>
      <c r="BQ29" s="126">
        <f t="shared" si="37"/>
        <v>0</v>
      </c>
      <c r="BR29" s="126">
        <f t="shared" si="38"/>
        <v>0</v>
      </c>
      <c r="BS29" s="126">
        <f t="shared" si="39"/>
        <v>0</v>
      </c>
      <c r="BT29" s="126">
        <f t="shared" si="40"/>
        <v>0</v>
      </c>
      <c r="BU29" s="126">
        <f t="shared" si="41"/>
        <v>0</v>
      </c>
      <c r="BV29" s="126">
        <f t="shared" si="42"/>
        <v>0</v>
      </c>
      <c r="BW29" s="126">
        <f t="shared" si="43"/>
        <v>0</v>
      </c>
      <c r="BX29" s="126">
        <f t="shared" si="44"/>
        <v>0</v>
      </c>
      <c r="BY29" s="126">
        <f t="shared" si="45"/>
        <v>0</v>
      </c>
      <c r="BZ29" s="126">
        <f t="shared" si="46"/>
        <v>0</v>
      </c>
      <c r="CA29" s="126">
        <f t="shared" si="47"/>
        <v>0</v>
      </c>
      <c r="CB29" s="126">
        <f t="shared" si="48"/>
        <v>0</v>
      </c>
      <c r="CC29" s="126">
        <f t="shared" si="49"/>
        <v>0</v>
      </c>
      <c r="CD29" s="126">
        <f t="shared" si="50"/>
        <v>0</v>
      </c>
      <c r="CE29" s="126">
        <f t="shared" si="51"/>
        <v>0</v>
      </c>
      <c r="CF29" s="126">
        <f t="shared" si="52"/>
        <v>0</v>
      </c>
      <c r="CG29" s="126">
        <f t="shared" si="53"/>
        <v>0</v>
      </c>
      <c r="CH29" s="126">
        <f t="shared" si="54"/>
        <v>0</v>
      </c>
      <c r="CI29" s="126">
        <f t="shared" si="55"/>
        <v>0</v>
      </c>
      <c r="CJ29" s="126">
        <f t="shared" si="56"/>
        <v>0</v>
      </c>
      <c r="CK29" s="126"/>
    </row>
    <row r="30" spans="1:89" ht="9.75" customHeight="1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 t="str">
        <f>'Construction and Materials'!B44</f>
        <v>Pick Assembly</v>
      </c>
      <c r="Q30" s="126" t="str">
        <f>'Construction and Materials'!C44</f>
        <v>Pick Type</v>
      </c>
      <c r="R30" s="129">
        <f>'Construction and Materials'!D44</f>
        <v>0</v>
      </c>
      <c r="S30" s="130">
        <f>IF(NOT(Q30="Pick Type"),VLOOKUP(Q30,'LCA Data'!$C$8:$S$107,6,FALSE)*Lists!R30,0)</f>
        <v>0</v>
      </c>
      <c r="T30" s="131">
        <f>IF(NOT(Q30="Pick Type"),VLOOKUP(Q30,'LCA Data'!$C$8:$S$107,10,FALSE)*Lists!R30,0)</f>
        <v>0</v>
      </c>
      <c r="U30" s="132">
        <f>IF(NOT(Q30="Pick Type"),VLOOKUP(Q30,'LCA Data'!$C$8:$S$107,14,FALSE)*Lists!R30,0)</f>
        <v>0</v>
      </c>
      <c r="V30" s="133">
        <f t="shared" si="1"/>
        <v>0</v>
      </c>
      <c r="W30" s="130">
        <f>IF(NOT(Q30="Pick Type"),VLOOKUP(Q30,'LCA Data'!$C$8:$S$107,7,FALSE)*Lists!R30,0)</f>
        <v>0</v>
      </c>
      <c r="X30" s="131">
        <f>IF(NOT(Q30="Pick Type"),VLOOKUP(Q30,'LCA Data'!$C$8:$S$107,11,FALSE)*Lists!R30,0)</f>
        <v>0</v>
      </c>
      <c r="Y30" s="132">
        <f>IF(NOT(Q30="Pick Type"),VLOOKUP(Q30,'LCA Data'!$C$8:$S$107,15,FALSE)*Lists!R30,0)</f>
        <v>0</v>
      </c>
      <c r="Z30" s="133">
        <f t="shared" si="2"/>
        <v>0</v>
      </c>
      <c r="AA30" s="130">
        <f>IF(NOT(Q30="Pick Type"),VLOOKUP(Q30,'LCA Data'!$C$8:$S$107,8,FALSE)*Lists!R30,0)</f>
        <v>0</v>
      </c>
      <c r="AB30" s="131">
        <f>IF(NOT(Q30="Pick Type"),VLOOKUP(Q30,'LCA Data'!$C$8:$S$107,12,FALSE)*Lists!R30,0)</f>
        <v>0</v>
      </c>
      <c r="AC30" s="132">
        <f>IF(NOT(Q30="Pick Type"),VLOOKUP(Q30,'LCA Data'!$C$8:$S$107,16,FALSE)*Lists!R30,0)</f>
        <v>0</v>
      </c>
      <c r="AD30" s="133">
        <f t="shared" si="3"/>
        <v>0</v>
      </c>
      <c r="AE30" s="134">
        <f>IF(NOT(Q30="Pick Type"),VLOOKUP(Q30,'LCA Data'!$C$8:$S$107,9,FALSE)*Lists!R30,0)</f>
        <v>0</v>
      </c>
      <c r="AF30" s="135">
        <f>IF(NOT(Q30="Pick Type"),VLOOKUP(Q30,'LCA Data'!$C$8:$S$107,13,FALSE)*Lists!R30,0)</f>
        <v>0</v>
      </c>
      <c r="AG30" s="136">
        <f>IF(NOT(Q30="Pick Type"),VLOOKUP(Q30,'LCA Data'!$C$8:$S$107,17,FALSE)*Lists!R30,0)</f>
        <v>0</v>
      </c>
      <c r="AH30" s="137">
        <f t="shared" si="4"/>
        <v>0</v>
      </c>
      <c r="AI30" s="126" t="e">
        <f t="shared" si="5"/>
        <v>#N/A</v>
      </c>
      <c r="AJ30" s="126"/>
      <c r="AK30" s="138" t="s">
        <v>312</v>
      </c>
      <c r="AL30" s="129">
        <f t="shared" si="6"/>
        <v>0</v>
      </c>
      <c r="AM30" s="126">
        <f t="shared" si="7"/>
        <v>0</v>
      </c>
      <c r="AN30" s="126">
        <f t="shared" si="8"/>
        <v>0</v>
      </c>
      <c r="AO30" s="126">
        <f t="shared" si="9"/>
        <v>0</v>
      </c>
      <c r="AP30" s="126">
        <f t="shared" si="10"/>
        <v>0</v>
      </c>
      <c r="AQ30" s="126">
        <f t="shared" si="11"/>
        <v>0</v>
      </c>
      <c r="AR30" s="126">
        <f t="shared" si="12"/>
        <v>0</v>
      </c>
      <c r="AS30" s="126">
        <f t="shared" si="13"/>
        <v>0</v>
      </c>
      <c r="AT30" s="126">
        <f t="shared" si="14"/>
        <v>0</v>
      </c>
      <c r="AU30" s="126">
        <f t="shared" si="15"/>
        <v>0</v>
      </c>
      <c r="AV30" s="126">
        <f t="shared" si="16"/>
        <v>0</v>
      </c>
      <c r="AW30" s="126">
        <f t="shared" si="17"/>
        <v>0</v>
      </c>
      <c r="AX30" s="126">
        <f t="shared" si="18"/>
        <v>0</v>
      </c>
      <c r="AY30" s="126">
        <f t="shared" si="19"/>
        <v>0</v>
      </c>
      <c r="AZ30" s="126">
        <f t="shared" si="20"/>
        <v>0</v>
      </c>
      <c r="BA30" s="126">
        <f t="shared" si="21"/>
        <v>0</v>
      </c>
      <c r="BB30" s="126">
        <f t="shared" si="22"/>
        <v>0</v>
      </c>
      <c r="BC30" s="126">
        <f t="shared" si="23"/>
        <v>0</v>
      </c>
      <c r="BD30" s="126">
        <f t="shared" si="24"/>
        <v>0</v>
      </c>
      <c r="BE30" s="126">
        <f t="shared" si="25"/>
        <v>0</v>
      </c>
      <c r="BF30" s="126">
        <f t="shared" si="26"/>
        <v>0</v>
      </c>
      <c r="BG30" s="126">
        <f t="shared" si="27"/>
        <v>0</v>
      </c>
      <c r="BH30" s="126">
        <f t="shared" si="28"/>
        <v>0</v>
      </c>
      <c r="BI30" s="126">
        <f t="shared" si="29"/>
        <v>0</v>
      </c>
      <c r="BJ30" s="126">
        <f t="shared" si="30"/>
        <v>0</v>
      </c>
      <c r="BK30" s="126">
        <f t="shared" si="31"/>
        <v>0</v>
      </c>
      <c r="BL30" s="126">
        <f t="shared" si="32"/>
        <v>0</v>
      </c>
      <c r="BM30" s="126">
        <f t="shared" si="33"/>
        <v>0</v>
      </c>
      <c r="BN30" s="126">
        <f t="shared" si="34"/>
        <v>0</v>
      </c>
      <c r="BO30" s="126">
        <f t="shared" si="35"/>
        <v>0</v>
      </c>
      <c r="BP30" s="126">
        <f t="shared" si="36"/>
        <v>0</v>
      </c>
      <c r="BQ30" s="126">
        <f t="shared" si="37"/>
        <v>0</v>
      </c>
      <c r="BR30" s="126">
        <f t="shared" si="38"/>
        <v>0</v>
      </c>
      <c r="BS30" s="126">
        <f t="shared" si="39"/>
        <v>0</v>
      </c>
      <c r="BT30" s="126">
        <f t="shared" si="40"/>
        <v>0</v>
      </c>
      <c r="BU30" s="126">
        <f t="shared" si="41"/>
        <v>0</v>
      </c>
      <c r="BV30" s="126">
        <f t="shared" si="42"/>
        <v>0</v>
      </c>
      <c r="BW30" s="126">
        <f t="shared" si="43"/>
        <v>0</v>
      </c>
      <c r="BX30" s="126">
        <f t="shared" si="44"/>
        <v>0</v>
      </c>
      <c r="BY30" s="126">
        <f t="shared" si="45"/>
        <v>0</v>
      </c>
      <c r="BZ30" s="126">
        <f t="shared" si="46"/>
        <v>0</v>
      </c>
      <c r="CA30" s="126">
        <f t="shared" si="47"/>
        <v>0</v>
      </c>
      <c r="CB30" s="126">
        <f t="shared" si="48"/>
        <v>0</v>
      </c>
      <c r="CC30" s="126">
        <f t="shared" si="49"/>
        <v>0</v>
      </c>
      <c r="CD30" s="126">
        <f t="shared" si="50"/>
        <v>0</v>
      </c>
      <c r="CE30" s="126">
        <f t="shared" si="51"/>
        <v>0</v>
      </c>
      <c r="CF30" s="126">
        <f t="shared" si="52"/>
        <v>0</v>
      </c>
      <c r="CG30" s="126">
        <f t="shared" si="53"/>
        <v>0</v>
      </c>
      <c r="CH30" s="126">
        <f t="shared" si="54"/>
        <v>0</v>
      </c>
      <c r="CI30" s="126">
        <f t="shared" si="55"/>
        <v>0</v>
      </c>
      <c r="CJ30" s="126">
        <f t="shared" si="56"/>
        <v>0</v>
      </c>
      <c r="CK30" s="126"/>
    </row>
    <row r="31" spans="1:89" ht="9.75" customHeight="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 t="str">
        <f>'Construction and Materials'!B45</f>
        <v>Pick Assembly</v>
      </c>
      <c r="Q31" s="126" t="str">
        <f>'Construction and Materials'!C45</f>
        <v>Pick Type</v>
      </c>
      <c r="R31" s="129">
        <f>'Construction and Materials'!D45</f>
        <v>0</v>
      </c>
      <c r="S31" s="130">
        <f>IF(NOT(Q31="Pick Type"),VLOOKUP(Q31,'LCA Data'!$C$8:$S$107,6,FALSE)*Lists!R31,0)</f>
        <v>0</v>
      </c>
      <c r="T31" s="131">
        <f>IF(NOT(Q31="Pick Type"),VLOOKUP(Q31,'LCA Data'!$C$8:$S$107,10,FALSE)*Lists!R31,0)</f>
        <v>0</v>
      </c>
      <c r="U31" s="132">
        <f>IF(NOT(Q31="Pick Type"),VLOOKUP(Q31,'LCA Data'!$C$8:$S$107,14,FALSE)*Lists!R31,0)</f>
        <v>0</v>
      </c>
      <c r="V31" s="133">
        <f t="shared" si="1"/>
        <v>0</v>
      </c>
      <c r="W31" s="130">
        <f>IF(NOT(Q31="Pick Type"),VLOOKUP(Q31,'LCA Data'!$C$8:$S$107,7,FALSE)*Lists!R31,0)</f>
        <v>0</v>
      </c>
      <c r="X31" s="131">
        <f>IF(NOT(Q31="Pick Type"),VLOOKUP(Q31,'LCA Data'!$C$8:$S$107,11,FALSE)*Lists!R31,0)</f>
        <v>0</v>
      </c>
      <c r="Y31" s="132">
        <f>IF(NOT(Q31="Pick Type"),VLOOKUP(Q31,'LCA Data'!$C$8:$S$107,15,FALSE)*Lists!R31,0)</f>
        <v>0</v>
      </c>
      <c r="Z31" s="133">
        <f t="shared" si="2"/>
        <v>0</v>
      </c>
      <c r="AA31" s="130">
        <f>IF(NOT(Q31="Pick Type"),VLOOKUP(Q31,'LCA Data'!$C$8:$S$107,8,FALSE)*Lists!R31,0)</f>
        <v>0</v>
      </c>
      <c r="AB31" s="131">
        <f>IF(NOT(Q31="Pick Type"),VLOOKUP(Q31,'LCA Data'!$C$8:$S$107,12,FALSE)*Lists!R31,0)</f>
        <v>0</v>
      </c>
      <c r="AC31" s="132">
        <f>IF(NOT(Q31="Pick Type"),VLOOKUP(Q31,'LCA Data'!$C$8:$S$107,16,FALSE)*Lists!R31,0)</f>
        <v>0</v>
      </c>
      <c r="AD31" s="133">
        <f t="shared" si="3"/>
        <v>0</v>
      </c>
      <c r="AE31" s="134">
        <f>IF(NOT(Q31="Pick Type"),VLOOKUP(Q31,'LCA Data'!$C$8:$S$107,9,FALSE)*Lists!R31,0)</f>
        <v>0</v>
      </c>
      <c r="AF31" s="135">
        <f>IF(NOT(Q31="Pick Type"),VLOOKUP(Q31,'LCA Data'!$C$8:$S$107,13,FALSE)*Lists!R31,0)</f>
        <v>0</v>
      </c>
      <c r="AG31" s="136">
        <f>IF(NOT(Q31="Pick Type"),VLOOKUP(Q31,'LCA Data'!$C$8:$S$107,17,FALSE)*Lists!R31,0)</f>
        <v>0</v>
      </c>
      <c r="AH31" s="137">
        <f t="shared" si="4"/>
        <v>0</v>
      </c>
      <c r="AI31" s="126" t="e">
        <f t="shared" si="5"/>
        <v>#N/A</v>
      </c>
      <c r="AJ31" s="126"/>
      <c r="AK31" s="138" t="s">
        <v>312</v>
      </c>
      <c r="AL31" s="129">
        <f t="shared" si="6"/>
        <v>0</v>
      </c>
      <c r="AM31" s="126">
        <f t="shared" si="7"/>
        <v>0</v>
      </c>
      <c r="AN31" s="126">
        <f t="shared" si="8"/>
        <v>0</v>
      </c>
      <c r="AO31" s="126">
        <f t="shared" si="9"/>
        <v>0</v>
      </c>
      <c r="AP31" s="126">
        <f t="shared" si="10"/>
        <v>0</v>
      </c>
      <c r="AQ31" s="126">
        <f t="shared" si="11"/>
        <v>0</v>
      </c>
      <c r="AR31" s="126">
        <f t="shared" si="12"/>
        <v>0</v>
      </c>
      <c r="AS31" s="126">
        <f t="shared" si="13"/>
        <v>0</v>
      </c>
      <c r="AT31" s="126">
        <f t="shared" si="14"/>
        <v>0</v>
      </c>
      <c r="AU31" s="126">
        <f t="shared" si="15"/>
        <v>0</v>
      </c>
      <c r="AV31" s="126">
        <f t="shared" si="16"/>
        <v>0</v>
      </c>
      <c r="AW31" s="126">
        <f t="shared" si="17"/>
        <v>0</v>
      </c>
      <c r="AX31" s="126">
        <f t="shared" si="18"/>
        <v>0</v>
      </c>
      <c r="AY31" s="126">
        <f t="shared" si="19"/>
        <v>0</v>
      </c>
      <c r="AZ31" s="126">
        <f t="shared" si="20"/>
        <v>0</v>
      </c>
      <c r="BA31" s="126">
        <f t="shared" si="21"/>
        <v>0</v>
      </c>
      <c r="BB31" s="126">
        <f t="shared" si="22"/>
        <v>0</v>
      </c>
      <c r="BC31" s="126">
        <f t="shared" si="23"/>
        <v>0</v>
      </c>
      <c r="BD31" s="126">
        <f t="shared" si="24"/>
        <v>0</v>
      </c>
      <c r="BE31" s="126">
        <f t="shared" si="25"/>
        <v>0</v>
      </c>
      <c r="BF31" s="126">
        <f t="shared" si="26"/>
        <v>0</v>
      </c>
      <c r="BG31" s="126">
        <f t="shared" si="27"/>
        <v>0</v>
      </c>
      <c r="BH31" s="126">
        <f t="shared" si="28"/>
        <v>0</v>
      </c>
      <c r="BI31" s="126">
        <f t="shared" si="29"/>
        <v>0</v>
      </c>
      <c r="BJ31" s="126">
        <f t="shared" si="30"/>
        <v>0</v>
      </c>
      <c r="BK31" s="126">
        <f t="shared" si="31"/>
        <v>0</v>
      </c>
      <c r="BL31" s="126">
        <f t="shared" si="32"/>
        <v>0</v>
      </c>
      <c r="BM31" s="126">
        <f t="shared" si="33"/>
        <v>0</v>
      </c>
      <c r="BN31" s="126">
        <f t="shared" si="34"/>
        <v>0</v>
      </c>
      <c r="BO31" s="126">
        <f t="shared" si="35"/>
        <v>0</v>
      </c>
      <c r="BP31" s="126">
        <f t="shared" si="36"/>
        <v>0</v>
      </c>
      <c r="BQ31" s="126">
        <f t="shared" si="37"/>
        <v>0</v>
      </c>
      <c r="BR31" s="126">
        <f t="shared" si="38"/>
        <v>0</v>
      </c>
      <c r="BS31" s="126">
        <f t="shared" si="39"/>
        <v>0</v>
      </c>
      <c r="BT31" s="126">
        <f t="shared" si="40"/>
        <v>0</v>
      </c>
      <c r="BU31" s="126">
        <f t="shared" si="41"/>
        <v>0</v>
      </c>
      <c r="BV31" s="126">
        <f t="shared" si="42"/>
        <v>0</v>
      </c>
      <c r="BW31" s="126">
        <f t="shared" si="43"/>
        <v>0</v>
      </c>
      <c r="BX31" s="126">
        <f t="shared" si="44"/>
        <v>0</v>
      </c>
      <c r="BY31" s="126">
        <f t="shared" si="45"/>
        <v>0</v>
      </c>
      <c r="BZ31" s="126">
        <f t="shared" si="46"/>
        <v>0</v>
      </c>
      <c r="CA31" s="126">
        <f t="shared" si="47"/>
        <v>0</v>
      </c>
      <c r="CB31" s="126">
        <f t="shared" si="48"/>
        <v>0</v>
      </c>
      <c r="CC31" s="126">
        <f t="shared" si="49"/>
        <v>0</v>
      </c>
      <c r="CD31" s="126">
        <f t="shared" si="50"/>
        <v>0</v>
      </c>
      <c r="CE31" s="126">
        <f t="shared" si="51"/>
        <v>0</v>
      </c>
      <c r="CF31" s="126">
        <f t="shared" si="52"/>
        <v>0</v>
      </c>
      <c r="CG31" s="126">
        <f t="shared" si="53"/>
        <v>0</v>
      </c>
      <c r="CH31" s="126">
        <f t="shared" si="54"/>
        <v>0</v>
      </c>
      <c r="CI31" s="126">
        <f t="shared" si="55"/>
        <v>0</v>
      </c>
      <c r="CJ31" s="126">
        <f t="shared" si="56"/>
        <v>0</v>
      </c>
      <c r="CK31" s="126"/>
    </row>
    <row r="32" spans="1:89" ht="9.7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 t="str">
        <f>'Construction and Materials'!B46</f>
        <v>Pick Assembly</v>
      </c>
      <c r="Q32" s="126" t="str">
        <f>'Construction and Materials'!C46</f>
        <v>Pick Type</v>
      </c>
      <c r="R32" s="129">
        <f>'Construction and Materials'!D46</f>
        <v>0</v>
      </c>
      <c r="S32" s="130">
        <f>IF(NOT(Q32="Pick Type"),VLOOKUP(Q32,'LCA Data'!$C$8:$S$107,6,FALSE)*Lists!R32,0)</f>
        <v>0</v>
      </c>
      <c r="T32" s="131">
        <f>IF(NOT(Q32="Pick Type"),VLOOKUP(Q32,'LCA Data'!$C$8:$S$107,10,FALSE)*Lists!R32,0)</f>
        <v>0</v>
      </c>
      <c r="U32" s="132">
        <f>IF(NOT(Q32="Pick Type"),VLOOKUP(Q32,'LCA Data'!$C$8:$S$107,14,FALSE)*Lists!R32,0)</f>
        <v>0</v>
      </c>
      <c r="V32" s="133">
        <f t="shared" si="1"/>
        <v>0</v>
      </c>
      <c r="W32" s="130">
        <f>IF(NOT(Q32="Pick Type"),VLOOKUP(Q32,'LCA Data'!$C$8:$S$107,7,FALSE)*Lists!R32,0)</f>
        <v>0</v>
      </c>
      <c r="X32" s="131">
        <f>IF(NOT(Q32="Pick Type"),VLOOKUP(Q32,'LCA Data'!$C$8:$S$107,11,FALSE)*Lists!R32,0)</f>
        <v>0</v>
      </c>
      <c r="Y32" s="132">
        <f>IF(NOT(Q32="Pick Type"),VLOOKUP(Q32,'LCA Data'!$C$8:$S$107,15,FALSE)*Lists!R32,0)</f>
        <v>0</v>
      </c>
      <c r="Z32" s="133">
        <f t="shared" si="2"/>
        <v>0</v>
      </c>
      <c r="AA32" s="130">
        <f>IF(NOT(Q32="Pick Type"),VLOOKUP(Q32,'LCA Data'!$C$8:$S$107,8,FALSE)*Lists!R32,0)</f>
        <v>0</v>
      </c>
      <c r="AB32" s="131">
        <f>IF(NOT(Q32="Pick Type"),VLOOKUP(Q32,'LCA Data'!$C$8:$S$107,12,FALSE)*Lists!R32,0)</f>
        <v>0</v>
      </c>
      <c r="AC32" s="132">
        <f>IF(NOT(Q32="Pick Type"),VLOOKUP(Q32,'LCA Data'!$C$8:$S$107,16,FALSE)*Lists!R32,0)</f>
        <v>0</v>
      </c>
      <c r="AD32" s="133">
        <f t="shared" si="3"/>
        <v>0</v>
      </c>
      <c r="AE32" s="134">
        <f>IF(NOT(Q32="Pick Type"),VLOOKUP(Q32,'LCA Data'!$C$8:$S$107,9,FALSE)*Lists!R32,0)</f>
        <v>0</v>
      </c>
      <c r="AF32" s="135">
        <f>IF(NOT(Q32="Pick Type"),VLOOKUP(Q32,'LCA Data'!$C$8:$S$107,13,FALSE)*Lists!R32,0)</f>
        <v>0</v>
      </c>
      <c r="AG32" s="136">
        <f>IF(NOT(Q32="Pick Type"),VLOOKUP(Q32,'LCA Data'!$C$8:$S$107,17,FALSE)*Lists!R32,0)</f>
        <v>0</v>
      </c>
      <c r="AH32" s="137">
        <f t="shared" si="4"/>
        <v>0</v>
      </c>
      <c r="AI32" s="126" t="e">
        <f t="shared" si="5"/>
        <v>#N/A</v>
      </c>
      <c r="AJ32" s="126"/>
      <c r="AK32" s="138" t="s">
        <v>312</v>
      </c>
      <c r="AL32" s="129">
        <f t="shared" si="6"/>
        <v>0</v>
      </c>
      <c r="AM32" s="126">
        <f t="shared" si="7"/>
        <v>0</v>
      </c>
      <c r="AN32" s="126">
        <f t="shared" si="8"/>
        <v>0</v>
      </c>
      <c r="AO32" s="126">
        <f t="shared" si="9"/>
        <v>0</v>
      </c>
      <c r="AP32" s="126">
        <f t="shared" si="10"/>
        <v>0</v>
      </c>
      <c r="AQ32" s="126">
        <f t="shared" si="11"/>
        <v>0</v>
      </c>
      <c r="AR32" s="126">
        <f t="shared" si="12"/>
        <v>0</v>
      </c>
      <c r="AS32" s="126">
        <f t="shared" si="13"/>
        <v>0</v>
      </c>
      <c r="AT32" s="126">
        <f t="shared" si="14"/>
        <v>0</v>
      </c>
      <c r="AU32" s="126">
        <f t="shared" si="15"/>
        <v>0</v>
      </c>
      <c r="AV32" s="126">
        <f t="shared" si="16"/>
        <v>0</v>
      </c>
      <c r="AW32" s="126">
        <f t="shared" si="17"/>
        <v>0</v>
      </c>
      <c r="AX32" s="126">
        <f t="shared" si="18"/>
        <v>0</v>
      </c>
      <c r="AY32" s="126">
        <f t="shared" si="19"/>
        <v>0</v>
      </c>
      <c r="AZ32" s="126">
        <f t="shared" si="20"/>
        <v>0</v>
      </c>
      <c r="BA32" s="126">
        <f t="shared" si="21"/>
        <v>0</v>
      </c>
      <c r="BB32" s="126">
        <f t="shared" si="22"/>
        <v>0</v>
      </c>
      <c r="BC32" s="126">
        <f t="shared" si="23"/>
        <v>0</v>
      </c>
      <c r="BD32" s="126">
        <f t="shared" si="24"/>
        <v>0</v>
      </c>
      <c r="BE32" s="126">
        <f t="shared" si="25"/>
        <v>0</v>
      </c>
      <c r="BF32" s="126">
        <f t="shared" si="26"/>
        <v>0</v>
      </c>
      <c r="BG32" s="126">
        <f t="shared" si="27"/>
        <v>0</v>
      </c>
      <c r="BH32" s="126">
        <f t="shared" si="28"/>
        <v>0</v>
      </c>
      <c r="BI32" s="126">
        <f t="shared" si="29"/>
        <v>0</v>
      </c>
      <c r="BJ32" s="126">
        <f t="shared" si="30"/>
        <v>0</v>
      </c>
      <c r="BK32" s="126">
        <f t="shared" si="31"/>
        <v>0</v>
      </c>
      <c r="BL32" s="126">
        <f t="shared" si="32"/>
        <v>0</v>
      </c>
      <c r="BM32" s="126">
        <f t="shared" si="33"/>
        <v>0</v>
      </c>
      <c r="BN32" s="126">
        <f t="shared" si="34"/>
        <v>0</v>
      </c>
      <c r="BO32" s="126">
        <f t="shared" si="35"/>
        <v>0</v>
      </c>
      <c r="BP32" s="126">
        <f t="shared" si="36"/>
        <v>0</v>
      </c>
      <c r="BQ32" s="126">
        <f t="shared" si="37"/>
        <v>0</v>
      </c>
      <c r="BR32" s="126">
        <f t="shared" si="38"/>
        <v>0</v>
      </c>
      <c r="BS32" s="126">
        <f t="shared" si="39"/>
        <v>0</v>
      </c>
      <c r="BT32" s="126">
        <f t="shared" si="40"/>
        <v>0</v>
      </c>
      <c r="BU32" s="126">
        <f t="shared" si="41"/>
        <v>0</v>
      </c>
      <c r="BV32" s="126">
        <f t="shared" si="42"/>
        <v>0</v>
      </c>
      <c r="BW32" s="126">
        <f t="shared" si="43"/>
        <v>0</v>
      </c>
      <c r="BX32" s="126">
        <f t="shared" si="44"/>
        <v>0</v>
      </c>
      <c r="BY32" s="126">
        <f t="shared" si="45"/>
        <v>0</v>
      </c>
      <c r="BZ32" s="126">
        <f t="shared" si="46"/>
        <v>0</v>
      </c>
      <c r="CA32" s="126">
        <f t="shared" si="47"/>
        <v>0</v>
      </c>
      <c r="CB32" s="126">
        <f t="shared" si="48"/>
        <v>0</v>
      </c>
      <c r="CC32" s="126">
        <f t="shared" si="49"/>
        <v>0</v>
      </c>
      <c r="CD32" s="126">
        <f t="shared" si="50"/>
        <v>0</v>
      </c>
      <c r="CE32" s="126">
        <f t="shared" si="51"/>
        <v>0</v>
      </c>
      <c r="CF32" s="126">
        <f t="shared" si="52"/>
        <v>0</v>
      </c>
      <c r="CG32" s="126">
        <f t="shared" si="53"/>
        <v>0</v>
      </c>
      <c r="CH32" s="126">
        <f t="shared" si="54"/>
        <v>0</v>
      </c>
      <c r="CI32" s="126">
        <f t="shared" si="55"/>
        <v>0</v>
      </c>
      <c r="CJ32" s="126">
        <f t="shared" si="56"/>
        <v>0</v>
      </c>
      <c r="CK32" s="126"/>
    </row>
    <row r="33" spans="1:89" ht="9.75" customHeight="1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 t="str">
        <f>'Construction and Materials'!B47</f>
        <v>Pick Assembly</v>
      </c>
      <c r="Q33" s="126" t="str">
        <f>'Construction and Materials'!C47</f>
        <v>Pick Type</v>
      </c>
      <c r="R33" s="129">
        <f>'Construction and Materials'!D47</f>
        <v>0</v>
      </c>
      <c r="S33" s="130">
        <f>IF(NOT(Q33="Pick Type"),VLOOKUP(Q33,'LCA Data'!$C$8:$S$107,6,FALSE)*Lists!R33,0)</f>
        <v>0</v>
      </c>
      <c r="T33" s="131">
        <f>IF(NOT(Q33="Pick Type"),VLOOKUP(Q33,'LCA Data'!$C$8:$S$107,10,FALSE)*Lists!R33,0)</f>
        <v>0</v>
      </c>
      <c r="U33" s="132">
        <f>IF(NOT(Q33="Pick Type"),VLOOKUP(Q33,'LCA Data'!$C$8:$S$107,14,FALSE)*Lists!R33,0)</f>
        <v>0</v>
      </c>
      <c r="V33" s="133">
        <f t="shared" si="1"/>
        <v>0</v>
      </c>
      <c r="W33" s="130">
        <f>IF(NOT(Q33="Pick Type"),VLOOKUP(Q33,'LCA Data'!$C$8:$S$107,7,FALSE)*Lists!R33,0)</f>
        <v>0</v>
      </c>
      <c r="X33" s="131">
        <f>IF(NOT(Q33="Pick Type"),VLOOKUP(Q33,'LCA Data'!$C$8:$S$107,11,FALSE)*Lists!R33,0)</f>
        <v>0</v>
      </c>
      <c r="Y33" s="132">
        <f>IF(NOT(Q33="Pick Type"),VLOOKUP(Q33,'LCA Data'!$C$8:$S$107,15,FALSE)*Lists!R33,0)</f>
        <v>0</v>
      </c>
      <c r="Z33" s="133">
        <f t="shared" si="2"/>
        <v>0</v>
      </c>
      <c r="AA33" s="130">
        <f>IF(NOT(Q33="Pick Type"),VLOOKUP(Q33,'LCA Data'!$C$8:$S$107,8,FALSE)*Lists!R33,0)</f>
        <v>0</v>
      </c>
      <c r="AB33" s="131">
        <f>IF(NOT(Q33="Pick Type"),VLOOKUP(Q33,'LCA Data'!$C$8:$S$107,12,FALSE)*Lists!R33,0)</f>
        <v>0</v>
      </c>
      <c r="AC33" s="132">
        <f>IF(NOT(Q33="Pick Type"),VLOOKUP(Q33,'LCA Data'!$C$8:$S$107,16,FALSE)*Lists!R33,0)</f>
        <v>0</v>
      </c>
      <c r="AD33" s="133">
        <f t="shared" si="3"/>
        <v>0</v>
      </c>
      <c r="AE33" s="134">
        <f>IF(NOT(Q33="Pick Type"),VLOOKUP(Q33,'LCA Data'!$C$8:$S$107,9,FALSE)*Lists!R33,0)</f>
        <v>0</v>
      </c>
      <c r="AF33" s="135">
        <f>IF(NOT(Q33="Pick Type"),VLOOKUP(Q33,'LCA Data'!$C$8:$S$107,13,FALSE)*Lists!R33,0)</f>
        <v>0</v>
      </c>
      <c r="AG33" s="136">
        <f>IF(NOT(Q33="Pick Type"),VLOOKUP(Q33,'LCA Data'!$C$8:$S$107,17,FALSE)*Lists!R33,0)</f>
        <v>0</v>
      </c>
      <c r="AH33" s="137">
        <f t="shared" si="4"/>
        <v>0</v>
      </c>
      <c r="AI33" s="126" t="e">
        <f t="shared" si="5"/>
        <v>#N/A</v>
      </c>
      <c r="AJ33" s="126"/>
      <c r="AK33" s="138" t="s">
        <v>312</v>
      </c>
      <c r="AL33" s="129">
        <f t="shared" si="6"/>
        <v>0</v>
      </c>
      <c r="AM33" s="126">
        <f t="shared" si="7"/>
        <v>0</v>
      </c>
      <c r="AN33" s="126">
        <f t="shared" si="8"/>
        <v>0</v>
      </c>
      <c r="AO33" s="126">
        <f t="shared" si="9"/>
        <v>0</v>
      </c>
      <c r="AP33" s="126">
        <f t="shared" si="10"/>
        <v>0</v>
      </c>
      <c r="AQ33" s="126">
        <f t="shared" si="11"/>
        <v>0</v>
      </c>
      <c r="AR33" s="126">
        <f t="shared" si="12"/>
        <v>0</v>
      </c>
      <c r="AS33" s="126">
        <f t="shared" si="13"/>
        <v>0</v>
      </c>
      <c r="AT33" s="126">
        <f t="shared" si="14"/>
        <v>0</v>
      </c>
      <c r="AU33" s="126">
        <f t="shared" si="15"/>
        <v>0</v>
      </c>
      <c r="AV33" s="126">
        <f t="shared" si="16"/>
        <v>0</v>
      </c>
      <c r="AW33" s="126">
        <f t="shared" si="17"/>
        <v>0</v>
      </c>
      <c r="AX33" s="126">
        <f t="shared" si="18"/>
        <v>0</v>
      </c>
      <c r="AY33" s="126">
        <f t="shared" si="19"/>
        <v>0</v>
      </c>
      <c r="AZ33" s="126">
        <f t="shared" si="20"/>
        <v>0</v>
      </c>
      <c r="BA33" s="126">
        <f t="shared" si="21"/>
        <v>0</v>
      </c>
      <c r="BB33" s="126">
        <f t="shared" si="22"/>
        <v>0</v>
      </c>
      <c r="BC33" s="126">
        <f t="shared" si="23"/>
        <v>0</v>
      </c>
      <c r="BD33" s="126">
        <f t="shared" si="24"/>
        <v>0</v>
      </c>
      <c r="BE33" s="126">
        <f t="shared" si="25"/>
        <v>0</v>
      </c>
      <c r="BF33" s="126">
        <f t="shared" si="26"/>
        <v>0</v>
      </c>
      <c r="BG33" s="126">
        <f t="shared" si="27"/>
        <v>0</v>
      </c>
      <c r="BH33" s="126">
        <f t="shared" si="28"/>
        <v>0</v>
      </c>
      <c r="BI33" s="126">
        <f t="shared" si="29"/>
        <v>0</v>
      </c>
      <c r="BJ33" s="126">
        <f t="shared" si="30"/>
        <v>0</v>
      </c>
      <c r="BK33" s="126">
        <f t="shared" si="31"/>
        <v>0</v>
      </c>
      <c r="BL33" s="126">
        <f t="shared" si="32"/>
        <v>0</v>
      </c>
      <c r="BM33" s="126">
        <f t="shared" si="33"/>
        <v>0</v>
      </c>
      <c r="BN33" s="126">
        <f t="shared" si="34"/>
        <v>0</v>
      </c>
      <c r="BO33" s="126">
        <f t="shared" si="35"/>
        <v>0</v>
      </c>
      <c r="BP33" s="126">
        <f t="shared" si="36"/>
        <v>0</v>
      </c>
      <c r="BQ33" s="126">
        <f t="shared" si="37"/>
        <v>0</v>
      </c>
      <c r="BR33" s="126">
        <f t="shared" si="38"/>
        <v>0</v>
      </c>
      <c r="BS33" s="126">
        <f t="shared" si="39"/>
        <v>0</v>
      </c>
      <c r="BT33" s="126">
        <f t="shared" si="40"/>
        <v>0</v>
      </c>
      <c r="BU33" s="126">
        <f t="shared" si="41"/>
        <v>0</v>
      </c>
      <c r="BV33" s="126">
        <f t="shared" si="42"/>
        <v>0</v>
      </c>
      <c r="BW33" s="126">
        <f t="shared" si="43"/>
        <v>0</v>
      </c>
      <c r="BX33" s="126">
        <f t="shared" si="44"/>
        <v>0</v>
      </c>
      <c r="BY33" s="126">
        <f t="shared" si="45"/>
        <v>0</v>
      </c>
      <c r="BZ33" s="126">
        <f t="shared" si="46"/>
        <v>0</v>
      </c>
      <c r="CA33" s="126">
        <f t="shared" si="47"/>
        <v>0</v>
      </c>
      <c r="CB33" s="126">
        <f t="shared" si="48"/>
        <v>0</v>
      </c>
      <c r="CC33" s="126">
        <f t="shared" si="49"/>
        <v>0</v>
      </c>
      <c r="CD33" s="126">
        <f t="shared" si="50"/>
        <v>0</v>
      </c>
      <c r="CE33" s="126">
        <f t="shared" si="51"/>
        <v>0</v>
      </c>
      <c r="CF33" s="126">
        <f t="shared" si="52"/>
        <v>0</v>
      </c>
      <c r="CG33" s="126">
        <f t="shared" si="53"/>
        <v>0</v>
      </c>
      <c r="CH33" s="126">
        <f t="shared" si="54"/>
        <v>0</v>
      </c>
      <c r="CI33" s="126">
        <f t="shared" si="55"/>
        <v>0</v>
      </c>
      <c r="CJ33" s="126">
        <f t="shared" si="56"/>
        <v>0</v>
      </c>
      <c r="CK33" s="126"/>
    </row>
    <row r="34" spans="1:89" ht="9.7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 t="str">
        <f>'Construction and Materials'!B48</f>
        <v>Pick Assembly</v>
      </c>
      <c r="Q34" s="126" t="str">
        <f>'Construction and Materials'!C48</f>
        <v>Pick Type</v>
      </c>
      <c r="R34" s="129">
        <f>'Construction and Materials'!D48</f>
        <v>0</v>
      </c>
      <c r="S34" s="130">
        <f>IF(NOT(Q34="Pick Type"),VLOOKUP(Q34,'LCA Data'!$C$8:$S$107,6,FALSE)*Lists!R34,0)</f>
        <v>0</v>
      </c>
      <c r="T34" s="131">
        <f>IF(NOT(Q34="Pick Type"),VLOOKUP(Q34,'LCA Data'!$C$8:$S$107,10,FALSE)*Lists!R34,0)</f>
        <v>0</v>
      </c>
      <c r="U34" s="132">
        <f>IF(NOT(Q34="Pick Type"),VLOOKUP(Q34,'LCA Data'!$C$8:$S$107,14,FALSE)*Lists!R34,0)</f>
        <v>0</v>
      </c>
      <c r="V34" s="133">
        <f t="shared" si="1"/>
        <v>0</v>
      </c>
      <c r="W34" s="130">
        <f>IF(NOT(Q34="Pick Type"),VLOOKUP(Q34,'LCA Data'!$C$8:$S$107,7,FALSE)*Lists!R34,0)</f>
        <v>0</v>
      </c>
      <c r="X34" s="131">
        <f>IF(NOT(Q34="Pick Type"),VLOOKUP(Q34,'LCA Data'!$C$8:$S$107,11,FALSE)*Lists!R34,0)</f>
        <v>0</v>
      </c>
      <c r="Y34" s="132">
        <f>IF(NOT(Q34="Pick Type"),VLOOKUP(Q34,'LCA Data'!$C$8:$S$107,15,FALSE)*Lists!R34,0)</f>
        <v>0</v>
      </c>
      <c r="Z34" s="133">
        <f t="shared" si="2"/>
        <v>0</v>
      </c>
      <c r="AA34" s="130">
        <f>IF(NOT(Q34="Pick Type"),VLOOKUP(Q34,'LCA Data'!$C$8:$S$107,8,FALSE)*Lists!R34,0)</f>
        <v>0</v>
      </c>
      <c r="AB34" s="131">
        <f>IF(NOT(Q34="Pick Type"),VLOOKUP(Q34,'LCA Data'!$C$8:$S$107,12,FALSE)*Lists!R34,0)</f>
        <v>0</v>
      </c>
      <c r="AC34" s="132">
        <f>IF(NOT(Q34="Pick Type"),VLOOKUP(Q34,'LCA Data'!$C$8:$S$107,16,FALSE)*Lists!R34,0)</f>
        <v>0</v>
      </c>
      <c r="AD34" s="133">
        <f t="shared" si="3"/>
        <v>0</v>
      </c>
      <c r="AE34" s="134">
        <f>IF(NOT(Q34="Pick Type"),VLOOKUP(Q34,'LCA Data'!$C$8:$S$107,9,FALSE)*Lists!R34,0)</f>
        <v>0</v>
      </c>
      <c r="AF34" s="135">
        <f>IF(NOT(Q34="Pick Type"),VLOOKUP(Q34,'LCA Data'!$C$8:$S$107,13,FALSE)*Lists!R34,0)</f>
        <v>0</v>
      </c>
      <c r="AG34" s="136">
        <f>IF(NOT(Q34="Pick Type"),VLOOKUP(Q34,'LCA Data'!$C$8:$S$107,17,FALSE)*Lists!R34,0)</f>
        <v>0</v>
      </c>
      <c r="AH34" s="137">
        <f t="shared" si="4"/>
        <v>0</v>
      </c>
      <c r="AI34" s="126" t="e">
        <f t="shared" si="5"/>
        <v>#N/A</v>
      </c>
      <c r="AJ34" s="126"/>
      <c r="AK34" s="138" t="s">
        <v>312</v>
      </c>
      <c r="AL34" s="129">
        <f t="shared" si="6"/>
        <v>0</v>
      </c>
      <c r="AM34" s="126">
        <f t="shared" si="7"/>
        <v>0</v>
      </c>
      <c r="AN34" s="126">
        <f t="shared" si="8"/>
        <v>0</v>
      </c>
      <c r="AO34" s="126">
        <f t="shared" si="9"/>
        <v>0</v>
      </c>
      <c r="AP34" s="126">
        <f t="shared" si="10"/>
        <v>0</v>
      </c>
      <c r="AQ34" s="126">
        <f t="shared" si="11"/>
        <v>0</v>
      </c>
      <c r="AR34" s="126">
        <f t="shared" si="12"/>
        <v>0</v>
      </c>
      <c r="AS34" s="126">
        <f t="shared" si="13"/>
        <v>0</v>
      </c>
      <c r="AT34" s="126">
        <f t="shared" si="14"/>
        <v>0</v>
      </c>
      <c r="AU34" s="126">
        <f t="shared" si="15"/>
        <v>0</v>
      </c>
      <c r="AV34" s="126">
        <f t="shared" si="16"/>
        <v>0</v>
      </c>
      <c r="AW34" s="126">
        <f t="shared" si="17"/>
        <v>0</v>
      </c>
      <c r="AX34" s="126">
        <f t="shared" si="18"/>
        <v>0</v>
      </c>
      <c r="AY34" s="126">
        <f t="shared" si="19"/>
        <v>0</v>
      </c>
      <c r="AZ34" s="126">
        <f t="shared" si="20"/>
        <v>0</v>
      </c>
      <c r="BA34" s="126">
        <f t="shared" si="21"/>
        <v>0</v>
      </c>
      <c r="BB34" s="126">
        <f t="shared" si="22"/>
        <v>0</v>
      </c>
      <c r="BC34" s="126">
        <f t="shared" si="23"/>
        <v>0</v>
      </c>
      <c r="BD34" s="126">
        <f t="shared" si="24"/>
        <v>0</v>
      </c>
      <c r="BE34" s="126">
        <f t="shared" si="25"/>
        <v>0</v>
      </c>
      <c r="BF34" s="126">
        <f t="shared" si="26"/>
        <v>0</v>
      </c>
      <c r="BG34" s="126">
        <f t="shared" si="27"/>
        <v>0</v>
      </c>
      <c r="BH34" s="126">
        <f t="shared" si="28"/>
        <v>0</v>
      </c>
      <c r="BI34" s="126">
        <f t="shared" si="29"/>
        <v>0</v>
      </c>
      <c r="BJ34" s="126">
        <f t="shared" si="30"/>
        <v>0</v>
      </c>
      <c r="BK34" s="126">
        <f t="shared" si="31"/>
        <v>0</v>
      </c>
      <c r="BL34" s="126">
        <f t="shared" si="32"/>
        <v>0</v>
      </c>
      <c r="BM34" s="126">
        <f t="shared" si="33"/>
        <v>0</v>
      </c>
      <c r="BN34" s="126">
        <f t="shared" si="34"/>
        <v>0</v>
      </c>
      <c r="BO34" s="126">
        <f t="shared" si="35"/>
        <v>0</v>
      </c>
      <c r="BP34" s="126">
        <f t="shared" si="36"/>
        <v>0</v>
      </c>
      <c r="BQ34" s="126">
        <f t="shared" si="37"/>
        <v>0</v>
      </c>
      <c r="BR34" s="126">
        <f t="shared" si="38"/>
        <v>0</v>
      </c>
      <c r="BS34" s="126">
        <f t="shared" si="39"/>
        <v>0</v>
      </c>
      <c r="BT34" s="126">
        <f t="shared" si="40"/>
        <v>0</v>
      </c>
      <c r="BU34" s="126">
        <f t="shared" si="41"/>
        <v>0</v>
      </c>
      <c r="BV34" s="126">
        <f t="shared" si="42"/>
        <v>0</v>
      </c>
      <c r="BW34" s="126">
        <f t="shared" si="43"/>
        <v>0</v>
      </c>
      <c r="BX34" s="126">
        <f t="shared" si="44"/>
        <v>0</v>
      </c>
      <c r="BY34" s="126">
        <f t="shared" si="45"/>
        <v>0</v>
      </c>
      <c r="BZ34" s="126">
        <f t="shared" si="46"/>
        <v>0</v>
      </c>
      <c r="CA34" s="126">
        <f t="shared" si="47"/>
        <v>0</v>
      </c>
      <c r="CB34" s="126">
        <f t="shared" si="48"/>
        <v>0</v>
      </c>
      <c r="CC34" s="126">
        <f t="shared" si="49"/>
        <v>0</v>
      </c>
      <c r="CD34" s="126">
        <f t="shared" si="50"/>
        <v>0</v>
      </c>
      <c r="CE34" s="126">
        <f t="shared" si="51"/>
        <v>0</v>
      </c>
      <c r="CF34" s="126">
        <f t="shared" si="52"/>
        <v>0</v>
      </c>
      <c r="CG34" s="126">
        <f t="shared" si="53"/>
        <v>0</v>
      </c>
      <c r="CH34" s="126">
        <f t="shared" si="54"/>
        <v>0</v>
      </c>
      <c r="CI34" s="126">
        <f t="shared" si="55"/>
        <v>0</v>
      </c>
      <c r="CJ34" s="126">
        <f t="shared" si="56"/>
        <v>0</v>
      </c>
      <c r="CK34" s="126"/>
    </row>
    <row r="35" spans="1:89" ht="9.7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 t="str">
        <f>'Construction and Materials'!B49</f>
        <v>Pick Assembly</v>
      </c>
      <c r="Q35" s="126" t="str">
        <f>'Construction and Materials'!C49</f>
        <v>Pick Type</v>
      </c>
      <c r="R35" s="129">
        <f>'Construction and Materials'!D49</f>
        <v>0</v>
      </c>
      <c r="S35" s="130">
        <f>IF(NOT(Q35="Pick Type"),VLOOKUP(Q35,'LCA Data'!$C$8:$S$107,6,FALSE)*Lists!R35,0)</f>
        <v>0</v>
      </c>
      <c r="T35" s="131">
        <f>IF(NOT(Q35="Pick Type"),VLOOKUP(Q35,'LCA Data'!$C$8:$S$107,10,FALSE)*Lists!R35,0)</f>
        <v>0</v>
      </c>
      <c r="U35" s="132">
        <f>IF(NOT(Q35="Pick Type"),VLOOKUP(Q35,'LCA Data'!$C$8:$S$107,14,FALSE)*Lists!R35,0)</f>
        <v>0</v>
      </c>
      <c r="V35" s="133">
        <f t="shared" si="1"/>
        <v>0</v>
      </c>
      <c r="W35" s="130">
        <f>IF(NOT(Q35="Pick Type"),VLOOKUP(Q35,'LCA Data'!$C$8:$S$107,7,FALSE)*Lists!R35,0)</f>
        <v>0</v>
      </c>
      <c r="X35" s="131">
        <f>IF(NOT(Q35="Pick Type"),VLOOKUP(Q35,'LCA Data'!$C$8:$S$107,11,FALSE)*Lists!R35,0)</f>
        <v>0</v>
      </c>
      <c r="Y35" s="132">
        <f>IF(NOT(Q35="Pick Type"),VLOOKUP(Q35,'LCA Data'!$C$8:$S$107,15,FALSE)*Lists!R35,0)</f>
        <v>0</v>
      </c>
      <c r="Z35" s="133">
        <f t="shared" si="2"/>
        <v>0</v>
      </c>
      <c r="AA35" s="130">
        <f>IF(NOT(Q35="Pick Type"),VLOOKUP(Q35,'LCA Data'!$C$8:$S$107,8,FALSE)*Lists!R35,0)</f>
        <v>0</v>
      </c>
      <c r="AB35" s="131">
        <f>IF(NOT(Q35="Pick Type"),VLOOKUP(Q35,'LCA Data'!$C$8:$S$107,12,FALSE)*Lists!R35,0)</f>
        <v>0</v>
      </c>
      <c r="AC35" s="132">
        <f>IF(NOT(Q35="Pick Type"),VLOOKUP(Q35,'LCA Data'!$C$8:$S$107,16,FALSE)*Lists!R35,0)</f>
        <v>0</v>
      </c>
      <c r="AD35" s="133">
        <f t="shared" si="3"/>
        <v>0</v>
      </c>
      <c r="AE35" s="134">
        <f>IF(NOT(Q35="Pick Type"),VLOOKUP(Q35,'LCA Data'!$C$8:$S$107,9,FALSE)*Lists!R35,0)</f>
        <v>0</v>
      </c>
      <c r="AF35" s="135">
        <f>IF(NOT(Q35="Pick Type"),VLOOKUP(Q35,'LCA Data'!$C$8:$S$107,13,FALSE)*Lists!R35,0)</f>
        <v>0</v>
      </c>
      <c r="AG35" s="136">
        <f>IF(NOT(Q35="Pick Type"),VLOOKUP(Q35,'LCA Data'!$C$8:$S$107,17,FALSE)*Lists!R35,0)</f>
        <v>0</v>
      </c>
      <c r="AH35" s="137">
        <f t="shared" si="4"/>
        <v>0</v>
      </c>
      <c r="AI35" s="126" t="e">
        <f t="shared" si="5"/>
        <v>#N/A</v>
      </c>
      <c r="AJ35" s="126"/>
      <c r="AK35" s="138" t="s">
        <v>312</v>
      </c>
      <c r="AL35" s="129">
        <f t="shared" si="6"/>
        <v>0</v>
      </c>
      <c r="AM35" s="126">
        <f t="shared" si="7"/>
        <v>0</v>
      </c>
      <c r="AN35" s="126">
        <f t="shared" si="8"/>
        <v>0</v>
      </c>
      <c r="AO35" s="126">
        <f t="shared" si="9"/>
        <v>0</v>
      </c>
      <c r="AP35" s="126">
        <f t="shared" si="10"/>
        <v>0</v>
      </c>
      <c r="AQ35" s="126">
        <f t="shared" si="11"/>
        <v>0</v>
      </c>
      <c r="AR35" s="126">
        <f t="shared" si="12"/>
        <v>0</v>
      </c>
      <c r="AS35" s="126">
        <f t="shared" si="13"/>
        <v>0</v>
      </c>
      <c r="AT35" s="126">
        <f t="shared" si="14"/>
        <v>0</v>
      </c>
      <c r="AU35" s="126">
        <f t="shared" si="15"/>
        <v>0</v>
      </c>
      <c r="AV35" s="126">
        <f t="shared" si="16"/>
        <v>0</v>
      </c>
      <c r="AW35" s="126">
        <f t="shared" si="17"/>
        <v>0</v>
      </c>
      <c r="AX35" s="126">
        <f t="shared" si="18"/>
        <v>0</v>
      </c>
      <c r="AY35" s="126">
        <f t="shared" si="19"/>
        <v>0</v>
      </c>
      <c r="AZ35" s="126">
        <f t="shared" si="20"/>
        <v>0</v>
      </c>
      <c r="BA35" s="126">
        <f t="shared" si="21"/>
        <v>0</v>
      </c>
      <c r="BB35" s="126">
        <f t="shared" si="22"/>
        <v>0</v>
      </c>
      <c r="BC35" s="126">
        <f t="shared" si="23"/>
        <v>0</v>
      </c>
      <c r="BD35" s="126">
        <f t="shared" si="24"/>
        <v>0</v>
      </c>
      <c r="BE35" s="126">
        <f t="shared" si="25"/>
        <v>0</v>
      </c>
      <c r="BF35" s="126">
        <f t="shared" si="26"/>
        <v>0</v>
      </c>
      <c r="BG35" s="126">
        <f t="shared" si="27"/>
        <v>0</v>
      </c>
      <c r="BH35" s="126">
        <f t="shared" si="28"/>
        <v>0</v>
      </c>
      <c r="BI35" s="126">
        <f t="shared" si="29"/>
        <v>0</v>
      </c>
      <c r="BJ35" s="126">
        <f t="shared" si="30"/>
        <v>0</v>
      </c>
      <c r="BK35" s="126">
        <f t="shared" si="31"/>
        <v>0</v>
      </c>
      <c r="BL35" s="126">
        <f t="shared" si="32"/>
        <v>0</v>
      </c>
      <c r="BM35" s="126">
        <f t="shared" si="33"/>
        <v>0</v>
      </c>
      <c r="BN35" s="126">
        <f t="shared" si="34"/>
        <v>0</v>
      </c>
      <c r="BO35" s="126">
        <f t="shared" si="35"/>
        <v>0</v>
      </c>
      <c r="BP35" s="126">
        <f t="shared" si="36"/>
        <v>0</v>
      </c>
      <c r="BQ35" s="126">
        <f t="shared" si="37"/>
        <v>0</v>
      </c>
      <c r="BR35" s="126">
        <f t="shared" si="38"/>
        <v>0</v>
      </c>
      <c r="BS35" s="126">
        <f t="shared" si="39"/>
        <v>0</v>
      </c>
      <c r="BT35" s="126">
        <f t="shared" si="40"/>
        <v>0</v>
      </c>
      <c r="BU35" s="126">
        <f t="shared" si="41"/>
        <v>0</v>
      </c>
      <c r="BV35" s="126">
        <f t="shared" si="42"/>
        <v>0</v>
      </c>
      <c r="BW35" s="126">
        <f t="shared" si="43"/>
        <v>0</v>
      </c>
      <c r="BX35" s="126">
        <f t="shared" si="44"/>
        <v>0</v>
      </c>
      <c r="BY35" s="126">
        <f t="shared" si="45"/>
        <v>0</v>
      </c>
      <c r="BZ35" s="126">
        <f t="shared" si="46"/>
        <v>0</v>
      </c>
      <c r="CA35" s="126">
        <f t="shared" si="47"/>
        <v>0</v>
      </c>
      <c r="CB35" s="126">
        <f t="shared" si="48"/>
        <v>0</v>
      </c>
      <c r="CC35" s="126">
        <f t="shared" si="49"/>
        <v>0</v>
      </c>
      <c r="CD35" s="126">
        <f t="shared" si="50"/>
        <v>0</v>
      </c>
      <c r="CE35" s="126">
        <f t="shared" si="51"/>
        <v>0</v>
      </c>
      <c r="CF35" s="126">
        <f t="shared" si="52"/>
        <v>0</v>
      </c>
      <c r="CG35" s="126">
        <f t="shared" si="53"/>
        <v>0</v>
      </c>
      <c r="CH35" s="126">
        <f t="shared" si="54"/>
        <v>0</v>
      </c>
      <c r="CI35" s="126">
        <f t="shared" si="55"/>
        <v>0</v>
      </c>
      <c r="CJ35" s="126">
        <f t="shared" si="56"/>
        <v>0</v>
      </c>
      <c r="CK35" s="126"/>
    </row>
    <row r="36" spans="1:89" ht="9.75" customHeight="1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 t="str">
        <f>'Construction and Materials'!B50</f>
        <v>Pick Assembly</v>
      </c>
      <c r="Q36" s="126" t="str">
        <f>'Construction and Materials'!C50</f>
        <v>Pick Type</v>
      </c>
      <c r="R36" s="129">
        <f>'Construction and Materials'!D50</f>
        <v>0</v>
      </c>
      <c r="S36" s="130">
        <f>IF(NOT(Q36="Pick Type"),VLOOKUP(Q36,'LCA Data'!$C$8:$S$107,6,FALSE)*Lists!R36,0)</f>
        <v>0</v>
      </c>
      <c r="T36" s="131">
        <f>IF(NOT(Q36="Pick Type"),VLOOKUP(Q36,'LCA Data'!$C$8:$S$107,10,FALSE)*Lists!R36,0)</f>
        <v>0</v>
      </c>
      <c r="U36" s="132">
        <f>IF(NOT(Q36="Pick Type"),VLOOKUP(Q36,'LCA Data'!$C$8:$S$107,14,FALSE)*Lists!R36,0)</f>
        <v>0</v>
      </c>
      <c r="V36" s="133">
        <f t="shared" si="1"/>
        <v>0</v>
      </c>
      <c r="W36" s="130">
        <f>IF(NOT(Q36="Pick Type"),VLOOKUP(Q36,'LCA Data'!$C$8:$S$107,7,FALSE)*Lists!R36,0)</f>
        <v>0</v>
      </c>
      <c r="X36" s="131">
        <f>IF(NOT(Q36="Pick Type"),VLOOKUP(Q36,'LCA Data'!$C$8:$S$107,11,FALSE)*Lists!R36,0)</f>
        <v>0</v>
      </c>
      <c r="Y36" s="132">
        <f>IF(NOT(Q36="Pick Type"),VLOOKUP(Q36,'LCA Data'!$C$8:$S$107,15,FALSE)*Lists!R36,0)</f>
        <v>0</v>
      </c>
      <c r="Z36" s="133">
        <f t="shared" si="2"/>
        <v>0</v>
      </c>
      <c r="AA36" s="130">
        <f>IF(NOT(Q36="Pick Type"),VLOOKUP(Q36,'LCA Data'!$C$8:$S$107,8,FALSE)*Lists!R36,0)</f>
        <v>0</v>
      </c>
      <c r="AB36" s="131">
        <f>IF(NOT(Q36="Pick Type"),VLOOKUP(Q36,'LCA Data'!$C$8:$S$107,12,FALSE)*Lists!R36,0)</f>
        <v>0</v>
      </c>
      <c r="AC36" s="132">
        <f>IF(NOT(Q36="Pick Type"),VLOOKUP(Q36,'LCA Data'!$C$8:$S$107,16,FALSE)*Lists!R36,0)</f>
        <v>0</v>
      </c>
      <c r="AD36" s="133">
        <f t="shared" si="3"/>
        <v>0</v>
      </c>
      <c r="AE36" s="134">
        <f>IF(NOT(Q36="Pick Type"),VLOOKUP(Q36,'LCA Data'!$C$8:$S$107,9,FALSE)*Lists!R36,0)</f>
        <v>0</v>
      </c>
      <c r="AF36" s="135">
        <f>IF(NOT(Q36="Pick Type"),VLOOKUP(Q36,'LCA Data'!$C$8:$S$107,13,FALSE)*Lists!R36,0)</f>
        <v>0</v>
      </c>
      <c r="AG36" s="136">
        <f>IF(NOT(Q36="Pick Type"),VLOOKUP(Q36,'LCA Data'!$C$8:$S$107,17,FALSE)*Lists!R36,0)</f>
        <v>0</v>
      </c>
      <c r="AH36" s="137">
        <f t="shared" si="4"/>
        <v>0</v>
      </c>
      <c r="AI36" s="126" t="e">
        <f t="shared" si="5"/>
        <v>#N/A</v>
      </c>
      <c r="AJ36" s="126"/>
      <c r="AK36" s="138" t="s">
        <v>312</v>
      </c>
      <c r="AL36" s="129">
        <f t="shared" si="6"/>
        <v>0</v>
      </c>
      <c r="AM36" s="126">
        <f t="shared" si="7"/>
        <v>0</v>
      </c>
      <c r="AN36" s="126">
        <f t="shared" si="8"/>
        <v>0</v>
      </c>
      <c r="AO36" s="126">
        <f t="shared" si="9"/>
        <v>0</v>
      </c>
      <c r="AP36" s="126">
        <f t="shared" si="10"/>
        <v>0</v>
      </c>
      <c r="AQ36" s="126">
        <f t="shared" si="11"/>
        <v>0</v>
      </c>
      <c r="AR36" s="126">
        <f t="shared" si="12"/>
        <v>0</v>
      </c>
      <c r="AS36" s="126">
        <f t="shared" si="13"/>
        <v>0</v>
      </c>
      <c r="AT36" s="126">
        <f t="shared" si="14"/>
        <v>0</v>
      </c>
      <c r="AU36" s="126">
        <f t="shared" si="15"/>
        <v>0</v>
      </c>
      <c r="AV36" s="126">
        <f t="shared" si="16"/>
        <v>0</v>
      </c>
      <c r="AW36" s="126">
        <f t="shared" si="17"/>
        <v>0</v>
      </c>
      <c r="AX36" s="126">
        <f t="shared" si="18"/>
        <v>0</v>
      </c>
      <c r="AY36" s="126">
        <f t="shared" si="19"/>
        <v>0</v>
      </c>
      <c r="AZ36" s="126">
        <f t="shared" si="20"/>
        <v>0</v>
      </c>
      <c r="BA36" s="126">
        <f t="shared" si="21"/>
        <v>0</v>
      </c>
      <c r="BB36" s="126">
        <f t="shared" si="22"/>
        <v>0</v>
      </c>
      <c r="BC36" s="126">
        <f t="shared" si="23"/>
        <v>0</v>
      </c>
      <c r="BD36" s="126">
        <f t="shared" si="24"/>
        <v>0</v>
      </c>
      <c r="BE36" s="126">
        <f t="shared" si="25"/>
        <v>0</v>
      </c>
      <c r="BF36" s="126">
        <f t="shared" si="26"/>
        <v>0</v>
      </c>
      <c r="BG36" s="126">
        <f t="shared" si="27"/>
        <v>0</v>
      </c>
      <c r="BH36" s="126">
        <f t="shared" si="28"/>
        <v>0</v>
      </c>
      <c r="BI36" s="126">
        <f t="shared" si="29"/>
        <v>0</v>
      </c>
      <c r="BJ36" s="126">
        <f t="shared" si="30"/>
        <v>0</v>
      </c>
      <c r="BK36" s="126">
        <f t="shared" si="31"/>
        <v>0</v>
      </c>
      <c r="BL36" s="126">
        <f t="shared" si="32"/>
        <v>0</v>
      </c>
      <c r="BM36" s="126">
        <f t="shared" si="33"/>
        <v>0</v>
      </c>
      <c r="BN36" s="126">
        <f t="shared" si="34"/>
        <v>0</v>
      </c>
      <c r="BO36" s="126">
        <f t="shared" si="35"/>
        <v>0</v>
      </c>
      <c r="BP36" s="126">
        <f t="shared" si="36"/>
        <v>0</v>
      </c>
      <c r="BQ36" s="126">
        <f t="shared" si="37"/>
        <v>0</v>
      </c>
      <c r="BR36" s="126">
        <f t="shared" si="38"/>
        <v>0</v>
      </c>
      <c r="BS36" s="126">
        <f t="shared" si="39"/>
        <v>0</v>
      </c>
      <c r="BT36" s="126">
        <f t="shared" si="40"/>
        <v>0</v>
      </c>
      <c r="BU36" s="126">
        <f t="shared" si="41"/>
        <v>0</v>
      </c>
      <c r="BV36" s="126">
        <f t="shared" si="42"/>
        <v>0</v>
      </c>
      <c r="BW36" s="126">
        <f t="shared" si="43"/>
        <v>0</v>
      </c>
      <c r="BX36" s="126">
        <f t="shared" si="44"/>
        <v>0</v>
      </c>
      <c r="BY36" s="126">
        <f t="shared" si="45"/>
        <v>0</v>
      </c>
      <c r="BZ36" s="126">
        <f t="shared" si="46"/>
        <v>0</v>
      </c>
      <c r="CA36" s="126">
        <f t="shared" si="47"/>
        <v>0</v>
      </c>
      <c r="CB36" s="126">
        <f t="shared" si="48"/>
        <v>0</v>
      </c>
      <c r="CC36" s="126">
        <f t="shared" si="49"/>
        <v>0</v>
      </c>
      <c r="CD36" s="126">
        <f t="shared" si="50"/>
        <v>0</v>
      </c>
      <c r="CE36" s="126">
        <f t="shared" si="51"/>
        <v>0</v>
      </c>
      <c r="CF36" s="126">
        <f t="shared" si="52"/>
        <v>0</v>
      </c>
      <c r="CG36" s="126">
        <f t="shared" si="53"/>
        <v>0</v>
      </c>
      <c r="CH36" s="126">
        <f t="shared" si="54"/>
        <v>0</v>
      </c>
      <c r="CI36" s="126">
        <f t="shared" si="55"/>
        <v>0</v>
      </c>
      <c r="CJ36" s="126">
        <f t="shared" si="56"/>
        <v>0</v>
      </c>
      <c r="CK36" s="126"/>
    </row>
    <row r="37" spans="1:89" ht="9.75" customHeight="1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 t="str">
        <f>'Construction and Materials'!B51</f>
        <v>Pick Assembly</v>
      </c>
      <c r="Q37" s="126" t="str">
        <f>'Construction and Materials'!C51</f>
        <v>Pick Type</v>
      </c>
      <c r="R37" s="129">
        <f>'Construction and Materials'!D51</f>
        <v>0</v>
      </c>
      <c r="S37" s="130">
        <f>IF(NOT(Q37="Pick Type"),VLOOKUP(Q37,'LCA Data'!$C$8:$S$107,6,FALSE)*Lists!R37,0)</f>
        <v>0</v>
      </c>
      <c r="T37" s="131">
        <f>IF(NOT(Q37="Pick Type"),VLOOKUP(Q37,'LCA Data'!$C$8:$S$107,10,FALSE)*Lists!R37,0)</f>
        <v>0</v>
      </c>
      <c r="U37" s="132">
        <f>IF(NOT(Q37="Pick Type"),VLOOKUP(Q37,'LCA Data'!$C$8:$S$107,14,FALSE)*Lists!R37,0)</f>
        <v>0</v>
      </c>
      <c r="V37" s="133">
        <f t="shared" si="1"/>
        <v>0</v>
      </c>
      <c r="W37" s="130">
        <f>IF(NOT(Q37="Pick Type"),VLOOKUP(Q37,'LCA Data'!$C$8:$S$107,7,FALSE)*Lists!R37,0)</f>
        <v>0</v>
      </c>
      <c r="X37" s="131">
        <f>IF(NOT(Q37="Pick Type"),VLOOKUP(Q37,'LCA Data'!$C$8:$S$107,11,FALSE)*Lists!R37,0)</f>
        <v>0</v>
      </c>
      <c r="Y37" s="132">
        <f>IF(NOT(Q37="Pick Type"),VLOOKUP(Q37,'LCA Data'!$C$8:$S$107,15,FALSE)*Lists!R37,0)</f>
        <v>0</v>
      </c>
      <c r="Z37" s="133">
        <f t="shared" si="2"/>
        <v>0</v>
      </c>
      <c r="AA37" s="130">
        <f>IF(NOT(Q37="Pick Type"),VLOOKUP(Q37,'LCA Data'!$C$8:$S$107,8,FALSE)*Lists!R37,0)</f>
        <v>0</v>
      </c>
      <c r="AB37" s="131">
        <f>IF(NOT(Q37="Pick Type"),VLOOKUP(Q37,'LCA Data'!$C$8:$S$107,12,FALSE)*Lists!R37,0)</f>
        <v>0</v>
      </c>
      <c r="AC37" s="132">
        <f>IF(NOT(Q37="Pick Type"),VLOOKUP(Q37,'LCA Data'!$C$8:$S$107,16,FALSE)*Lists!R37,0)</f>
        <v>0</v>
      </c>
      <c r="AD37" s="133">
        <f t="shared" si="3"/>
        <v>0</v>
      </c>
      <c r="AE37" s="134">
        <f>IF(NOT(Q37="Pick Type"),VLOOKUP(Q37,'LCA Data'!$C$8:$S$107,9,FALSE)*Lists!R37,0)</f>
        <v>0</v>
      </c>
      <c r="AF37" s="135">
        <f>IF(NOT(Q37="Pick Type"),VLOOKUP(Q37,'LCA Data'!$C$8:$S$107,13,FALSE)*Lists!R37,0)</f>
        <v>0</v>
      </c>
      <c r="AG37" s="136">
        <f>IF(NOT(Q37="Pick Type"),VLOOKUP(Q37,'LCA Data'!$C$8:$S$107,17,FALSE)*Lists!R37,0)</f>
        <v>0</v>
      </c>
      <c r="AH37" s="137">
        <f t="shared" si="4"/>
        <v>0</v>
      </c>
      <c r="AI37" s="126" t="e">
        <f t="shared" si="5"/>
        <v>#N/A</v>
      </c>
      <c r="AJ37" s="126"/>
      <c r="AK37" s="138" t="s">
        <v>312</v>
      </c>
      <c r="AL37" s="129">
        <f t="shared" si="6"/>
        <v>0</v>
      </c>
      <c r="AM37" s="126">
        <f t="shared" si="7"/>
        <v>0</v>
      </c>
      <c r="AN37" s="126">
        <f t="shared" si="8"/>
        <v>0</v>
      </c>
      <c r="AO37" s="126">
        <f t="shared" si="9"/>
        <v>0</v>
      </c>
      <c r="AP37" s="126">
        <f t="shared" si="10"/>
        <v>0</v>
      </c>
      <c r="AQ37" s="126">
        <f t="shared" si="11"/>
        <v>0</v>
      </c>
      <c r="AR37" s="126">
        <f t="shared" si="12"/>
        <v>0</v>
      </c>
      <c r="AS37" s="126">
        <f t="shared" si="13"/>
        <v>0</v>
      </c>
      <c r="AT37" s="126">
        <f t="shared" si="14"/>
        <v>0</v>
      </c>
      <c r="AU37" s="126">
        <f t="shared" si="15"/>
        <v>0</v>
      </c>
      <c r="AV37" s="126">
        <f t="shared" si="16"/>
        <v>0</v>
      </c>
      <c r="AW37" s="126">
        <f t="shared" si="17"/>
        <v>0</v>
      </c>
      <c r="AX37" s="126">
        <f t="shared" si="18"/>
        <v>0</v>
      </c>
      <c r="AY37" s="126">
        <f t="shared" si="19"/>
        <v>0</v>
      </c>
      <c r="AZ37" s="126">
        <f t="shared" si="20"/>
        <v>0</v>
      </c>
      <c r="BA37" s="126">
        <f t="shared" si="21"/>
        <v>0</v>
      </c>
      <c r="BB37" s="126">
        <f t="shared" si="22"/>
        <v>0</v>
      </c>
      <c r="BC37" s="126">
        <f t="shared" si="23"/>
        <v>0</v>
      </c>
      <c r="BD37" s="126">
        <f t="shared" si="24"/>
        <v>0</v>
      </c>
      <c r="BE37" s="126">
        <f t="shared" si="25"/>
        <v>0</v>
      </c>
      <c r="BF37" s="126">
        <f t="shared" si="26"/>
        <v>0</v>
      </c>
      <c r="BG37" s="126">
        <f t="shared" si="27"/>
        <v>0</v>
      </c>
      <c r="BH37" s="126">
        <f t="shared" si="28"/>
        <v>0</v>
      </c>
      <c r="BI37" s="126">
        <f t="shared" si="29"/>
        <v>0</v>
      </c>
      <c r="BJ37" s="126">
        <f t="shared" si="30"/>
        <v>0</v>
      </c>
      <c r="BK37" s="126">
        <f t="shared" si="31"/>
        <v>0</v>
      </c>
      <c r="BL37" s="126">
        <f t="shared" si="32"/>
        <v>0</v>
      </c>
      <c r="BM37" s="126">
        <f t="shared" si="33"/>
        <v>0</v>
      </c>
      <c r="BN37" s="126">
        <f t="shared" si="34"/>
        <v>0</v>
      </c>
      <c r="BO37" s="126">
        <f t="shared" si="35"/>
        <v>0</v>
      </c>
      <c r="BP37" s="126">
        <f t="shared" si="36"/>
        <v>0</v>
      </c>
      <c r="BQ37" s="126">
        <f t="shared" si="37"/>
        <v>0</v>
      </c>
      <c r="BR37" s="126">
        <f t="shared" si="38"/>
        <v>0</v>
      </c>
      <c r="BS37" s="126">
        <f t="shared" si="39"/>
        <v>0</v>
      </c>
      <c r="BT37" s="126">
        <f t="shared" si="40"/>
        <v>0</v>
      </c>
      <c r="BU37" s="126">
        <f t="shared" si="41"/>
        <v>0</v>
      </c>
      <c r="BV37" s="126">
        <f t="shared" si="42"/>
        <v>0</v>
      </c>
      <c r="BW37" s="126">
        <f t="shared" si="43"/>
        <v>0</v>
      </c>
      <c r="BX37" s="126">
        <f t="shared" si="44"/>
        <v>0</v>
      </c>
      <c r="BY37" s="126">
        <f t="shared" si="45"/>
        <v>0</v>
      </c>
      <c r="BZ37" s="126">
        <f t="shared" si="46"/>
        <v>0</v>
      </c>
      <c r="CA37" s="126">
        <f t="shared" si="47"/>
        <v>0</v>
      </c>
      <c r="CB37" s="126">
        <f t="shared" si="48"/>
        <v>0</v>
      </c>
      <c r="CC37" s="126">
        <f t="shared" si="49"/>
        <v>0</v>
      </c>
      <c r="CD37" s="126">
        <f t="shared" si="50"/>
        <v>0</v>
      </c>
      <c r="CE37" s="126">
        <f t="shared" si="51"/>
        <v>0</v>
      </c>
      <c r="CF37" s="126">
        <f t="shared" si="52"/>
        <v>0</v>
      </c>
      <c r="CG37" s="126">
        <f t="shared" si="53"/>
        <v>0</v>
      </c>
      <c r="CH37" s="126">
        <f t="shared" si="54"/>
        <v>0</v>
      </c>
      <c r="CI37" s="126">
        <f t="shared" si="55"/>
        <v>0</v>
      </c>
      <c r="CJ37" s="126">
        <f t="shared" si="56"/>
        <v>0</v>
      </c>
      <c r="CK37" s="126"/>
    </row>
    <row r="38" spans="1:89" ht="9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 t="str">
        <f>'Construction and Materials'!B52</f>
        <v>Pick Assembly</v>
      </c>
      <c r="Q38" s="126" t="str">
        <f>'Construction and Materials'!C52</f>
        <v>Pick Type</v>
      </c>
      <c r="R38" s="129">
        <f>'Construction and Materials'!D52</f>
        <v>0</v>
      </c>
      <c r="S38" s="130">
        <f>IF(NOT(Q38="Pick Type"),VLOOKUP(Q38,'LCA Data'!$C$8:$S$107,6,FALSE)*Lists!R38,0)</f>
        <v>0</v>
      </c>
      <c r="T38" s="131">
        <f>IF(NOT(Q38="Pick Type"),VLOOKUP(Q38,'LCA Data'!$C$8:$S$107,10,FALSE)*Lists!R38,0)</f>
        <v>0</v>
      </c>
      <c r="U38" s="132">
        <f>IF(NOT(Q38="Pick Type"),VLOOKUP(Q38,'LCA Data'!$C$8:$S$107,14,FALSE)*Lists!R38,0)</f>
        <v>0</v>
      </c>
      <c r="V38" s="133">
        <f t="shared" si="1"/>
        <v>0</v>
      </c>
      <c r="W38" s="130">
        <f>IF(NOT(Q38="Pick Type"),VLOOKUP(Q38,'LCA Data'!$C$8:$S$107,7,FALSE)*Lists!R38,0)</f>
        <v>0</v>
      </c>
      <c r="X38" s="131">
        <f>IF(NOT(Q38="Pick Type"),VLOOKUP(Q38,'LCA Data'!$C$8:$S$107,11,FALSE)*Lists!R38,0)</f>
        <v>0</v>
      </c>
      <c r="Y38" s="132">
        <f>IF(NOT(Q38="Pick Type"),VLOOKUP(Q38,'LCA Data'!$C$8:$S$107,15,FALSE)*Lists!R38,0)</f>
        <v>0</v>
      </c>
      <c r="Z38" s="133">
        <f t="shared" si="2"/>
        <v>0</v>
      </c>
      <c r="AA38" s="130">
        <f>IF(NOT(Q38="Pick Type"),VLOOKUP(Q38,'LCA Data'!$C$8:$S$107,8,FALSE)*Lists!R38,0)</f>
        <v>0</v>
      </c>
      <c r="AB38" s="131">
        <f>IF(NOT(Q38="Pick Type"),VLOOKUP(Q38,'LCA Data'!$C$8:$S$107,12,FALSE)*Lists!R38,0)</f>
        <v>0</v>
      </c>
      <c r="AC38" s="132">
        <f>IF(NOT(Q38="Pick Type"),VLOOKUP(Q38,'LCA Data'!$C$8:$S$107,16,FALSE)*Lists!R38,0)</f>
        <v>0</v>
      </c>
      <c r="AD38" s="133">
        <f t="shared" si="3"/>
        <v>0</v>
      </c>
      <c r="AE38" s="134">
        <f>IF(NOT(Q38="Pick Type"),VLOOKUP(Q38,'LCA Data'!$C$8:$S$107,9,FALSE)*Lists!R38,0)</f>
        <v>0</v>
      </c>
      <c r="AF38" s="135">
        <f>IF(NOT(Q38="Pick Type"),VLOOKUP(Q38,'LCA Data'!$C$8:$S$107,13,FALSE)*Lists!R38,0)</f>
        <v>0</v>
      </c>
      <c r="AG38" s="136">
        <f>IF(NOT(Q38="Pick Type"),VLOOKUP(Q38,'LCA Data'!$C$8:$S$107,17,FALSE)*Lists!R38,0)</f>
        <v>0</v>
      </c>
      <c r="AH38" s="137">
        <f t="shared" si="4"/>
        <v>0</v>
      </c>
      <c r="AI38" s="126" t="e">
        <f t="shared" si="5"/>
        <v>#N/A</v>
      </c>
      <c r="AJ38" s="126"/>
      <c r="AK38" s="138" t="s">
        <v>312</v>
      </c>
      <c r="AL38" s="129">
        <f t="shared" si="6"/>
        <v>0</v>
      </c>
      <c r="AM38" s="126">
        <f t="shared" si="7"/>
        <v>0</v>
      </c>
      <c r="AN38" s="126">
        <f t="shared" si="8"/>
        <v>0</v>
      </c>
      <c r="AO38" s="126">
        <f t="shared" si="9"/>
        <v>0</v>
      </c>
      <c r="AP38" s="126">
        <f t="shared" si="10"/>
        <v>0</v>
      </c>
      <c r="AQ38" s="126">
        <f t="shared" si="11"/>
        <v>0</v>
      </c>
      <c r="AR38" s="126">
        <f t="shared" si="12"/>
        <v>0</v>
      </c>
      <c r="AS38" s="126">
        <f t="shared" si="13"/>
        <v>0</v>
      </c>
      <c r="AT38" s="126">
        <f t="shared" si="14"/>
        <v>0</v>
      </c>
      <c r="AU38" s="126">
        <f t="shared" si="15"/>
        <v>0</v>
      </c>
      <c r="AV38" s="126">
        <f t="shared" si="16"/>
        <v>0</v>
      </c>
      <c r="AW38" s="126">
        <f t="shared" si="17"/>
        <v>0</v>
      </c>
      <c r="AX38" s="126">
        <f t="shared" si="18"/>
        <v>0</v>
      </c>
      <c r="AY38" s="126">
        <f t="shared" si="19"/>
        <v>0</v>
      </c>
      <c r="AZ38" s="126">
        <f t="shared" si="20"/>
        <v>0</v>
      </c>
      <c r="BA38" s="126">
        <f t="shared" si="21"/>
        <v>0</v>
      </c>
      <c r="BB38" s="126">
        <f t="shared" si="22"/>
        <v>0</v>
      </c>
      <c r="BC38" s="126">
        <f t="shared" si="23"/>
        <v>0</v>
      </c>
      <c r="BD38" s="126">
        <f t="shared" si="24"/>
        <v>0</v>
      </c>
      <c r="BE38" s="126">
        <f t="shared" si="25"/>
        <v>0</v>
      </c>
      <c r="BF38" s="126">
        <f t="shared" si="26"/>
        <v>0</v>
      </c>
      <c r="BG38" s="126">
        <f t="shared" si="27"/>
        <v>0</v>
      </c>
      <c r="BH38" s="126">
        <f t="shared" si="28"/>
        <v>0</v>
      </c>
      <c r="BI38" s="126">
        <f t="shared" si="29"/>
        <v>0</v>
      </c>
      <c r="BJ38" s="126">
        <f t="shared" si="30"/>
        <v>0</v>
      </c>
      <c r="BK38" s="126">
        <f t="shared" si="31"/>
        <v>0</v>
      </c>
      <c r="BL38" s="126">
        <f t="shared" si="32"/>
        <v>0</v>
      </c>
      <c r="BM38" s="126">
        <f t="shared" si="33"/>
        <v>0</v>
      </c>
      <c r="BN38" s="126">
        <f t="shared" si="34"/>
        <v>0</v>
      </c>
      <c r="BO38" s="126">
        <f t="shared" si="35"/>
        <v>0</v>
      </c>
      <c r="BP38" s="126">
        <f t="shared" si="36"/>
        <v>0</v>
      </c>
      <c r="BQ38" s="126">
        <f t="shared" si="37"/>
        <v>0</v>
      </c>
      <c r="BR38" s="126">
        <f t="shared" si="38"/>
        <v>0</v>
      </c>
      <c r="BS38" s="126">
        <f t="shared" si="39"/>
        <v>0</v>
      </c>
      <c r="BT38" s="126">
        <f t="shared" si="40"/>
        <v>0</v>
      </c>
      <c r="BU38" s="126">
        <f t="shared" si="41"/>
        <v>0</v>
      </c>
      <c r="BV38" s="126">
        <f t="shared" si="42"/>
        <v>0</v>
      </c>
      <c r="BW38" s="126">
        <f t="shared" si="43"/>
        <v>0</v>
      </c>
      <c r="BX38" s="126">
        <f t="shared" si="44"/>
        <v>0</v>
      </c>
      <c r="BY38" s="126">
        <f t="shared" si="45"/>
        <v>0</v>
      </c>
      <c r="BZ38" s="126">
        <f t="shared" si="46"/>
        <v>0</v>
      </c>
      <c r="CA38" s="126">
        <f t="shared" si="47"/>
        <v>0</v>
      </c>
      <c r="CB38" s="126">
        <f t="shared" si="48"/>
        <v>0</v>
      </c>
      <c r="CC38" s="126">
        <f t="shared" si="49"/>
        <v>0</v>
      </c>
      <c r="CD38" s="126">
        <f t="shared" si="50"/>
        <v>0</v>
      </c>
      <c r="CE38" s="126">
        <f t="shared" si="51"/>
        <v>0</v>
      </c>
      <c r="CF38" s="126">
        <f t="shared" si="52"/>
        <v>0</v>
      </c>
      <c r="CG38" s="126">
        <f t="shared" si="53"/>
        <v>0</v>
      </c>
      <c r="CH38" s="126">
        <f t="shared" si="54"/>
        <v>0</v>
      </c>
      <c r="CI38" s="126">
        <f t="shared" si="55"/>
        <v>0</v>
      </c>
      <c r="CJ38" s="126">
        <f t="shared" si="56"/>
        <v>0</v>
      </c>
      <c r="CK38" s="126"/>
    </row>
    <row r="39" spans="1:89" ht="9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 t="str">
        <f>'Construction and Materials'!B53</f>
        <v>Pick Assembly</v>
      </c>
      <c r="Q39" s="126" t="str">
        <f>'Construction and Materials'!C53</f>
        <v>Pick Type</v>
      </c>
      <c r="R39" s="129">
        <f>'Construction and Materials'!D53</f>
        <v>0</v>
      </c>
      <c r="S39" s="130">
        <f>IF(NOT(Q39="Pick Type"),VLOOKUP(Q39,'LCA Data'!$C$8:$S$107,6,FALSE)*Lists!R39,0)</f>
        <v>0</v>
      </c>
      <c r="T39" s="131">
        <f>IF(NOT(Q39="Pick Type"),VLOOKUP(Q39,'LCA Data'!$C$8:$S$107,10,FALSE)*Lists!R39,0)</f>
        <v>0</v>
      </c>
      <c r="U39" s="132">
        <f>IF(NOT(Q39="Pick Type"),VLOOKUP(Q39,'LCA Data'!$C$8:$S$107,14,FALSE)*Lists!R39,0)</f>
        <v>0</v>
      </c>
      <c r="V39" s="133">
        <f t="shared" si="1"/>
        <v>0</v>
      </c>
      <c r="W39" s="130">
        <f>IF(NOT(Q39="Pick Type"),VLOOKUP(Q39,'LCA Data'!$C$8:$S$107,7,FALSE)*Lists!R39,0)</f>
        <v>0</v>
      </c>
      <c r="X39" s="131">
        <f>IF(NOT(Q39="Pick Type"),VLOOKUP(Q39,'LCA Data'!$C$8:$S$107,11,FALSE)*Lists!R39,0)</f>
        <v>0</v>
      </c>
      <c r="Y39" s="132">
        <f>IF(NOT(Q39="Pick Type"),VLOOKUP(Q39,'LCA Data'!$C$8:$S$107,15,FALSE)*Lists!R39,0)</f>
        <v>0</v>
      </c>
      <c r="Z39" s="133">
        <f t="shared" si="2"/>
        <v>0</v>
      </c>
      <c r="AA39" s="130">
        <f>IF(NOT(Q39="Pick Type"),VLOOKUP(Q39,'LCA Data'!$C$8:$S$107,8,FALSE)*Lists!R39,0)</f>
        <v>0</v>
      </c>
      <c r="AB39" s="131">
        <f>IF(NOT(Q39="Pick Type"),VLOOKUP(Q39,'LCA Data'!$C$8:$S$107,12,FALSE)*Lists!R39,0)</f>
        <v>0</v>
      </c>
      <c r="AC39" s="132">
        <f>IF(NOT(Q39="Pick Type"),VLOOKUP(Q39,'LCA Data'!$C$8:$S$107,16,FALSE)*Lists!R39,0)</f>
        <v>0</v>
      </c>
      <c r="AD39" s="133">
        <f t="shared" si="3"/>
        <v>0</v>
      </c>
      <c r="AE39" s="134">
        <f>IF(NOT(Q39="Pick Type"),VLOOKUP(Q39,'LCA Data'!$C$8:$S$107,9,FALSE)*Lists!R39,0)</f>
        <v>0</v>
      </c>
      <c r="AF39" s="135">
        <f>IF(NOT(Q39="Pick Type"),VLOOKUP(Q39,'LCA Data'!$C$8:$S$107,13,FALSE)*Lists!R39,0)</f>
        <v>0</v>
      </c>
      <c r="AG39" s="136">
        <f>IF(NOT(Q39="Pick Type"),VLOOKUP(Q39,'LCA Data'!$C$8:$S$107,17,FALSE)*Lists!R39,0)</f>
        <v>0</v>
      </c>
      <c r="AH39" s="137">
        <f t="shared" si="4"/>
        <v>0</v>
      </c>
      <c r="AI39" s="126" t="e">
        <f t="shared" si="5"/>
        <v>#N/A</v>
      </c>
      <c r="AJ39" s="126"/>
      <c r="AK39" s="138" t="s">
        <v>312</v>
      </c>
      <c r="AL39" s="129">
        <f t="shared" si="6"/>
        <v>0</v>
      </c>
      <c r="AM39" s="126">
        <f t="shared" si="7"/>
        <v>0</v>
      </c>
      <c r="AN39" s="126">
        <f t="shared" si="8"/>
        <v>0</v>
      </c>
      <c r="AO39" s="126">
        <f t="shared" si="9"/>
        <v>0</v>
      </c>
      <c r="AP39" s="126">
        <f t="shared" si="10"/>
        <v>0</v>
      </c>
      <c r="AQ39" s="126">
        <f t="shared" si="11"/>
        <v>0</v>
      </c>
      <c r="AR39" s="126">
        <f t="shared" si="12"/>
        <v>0</v>
      </c>
      <c r="AS39" s="126">
        <f t="shared" si="13"/>
        <v>0</v>
      </c>
      <c r="AT39" s="126">
        <f t="shared" si="14"/>
        <v>0</v>
      </c>
      <c r="AU39" s="126">
        <f t="shared" si="15"/>
        <v>0</v>
      </c>
      <c r="AV39" s="126">
        <f t="shared" si="16"/>
        <v>0</v>
      </c>
      <c r="AW39" s="126">
        <f t="shared" si="17"/>
        <v>0</v>
      </c>
      <c r="AX39" s="126">
        <f t="shared" si="18"/>
        <v>0</v>
      </c>
      <c r="AY39" s="126">
        <f t="shared" si="19"/>
        <v>0</v>
      </c>
      <c r="AZ39" s="126">
        <f t="shared" si="20"/>
        <v>0</v>
      </c>
      <c r="BA39" s="126">
        <f t="shared" si="21"/>
        <v>0</v>
      </c>
      <c r="BB39" s="126">
        <f t="shared" si="22"/>
        <v>0</v>
      </c>
      <c r="BC39" s="126">
        <f t="shared" si="23"/>
        <v>0</v>
      </c>
      <c r="BD39" s="126">
        <f t="shared" si="24"/>
        <v>0</v>
      </c>
      <c r="BE39" s="126">
        <f t="shared" si="25"/>
        <v>0</v>
      </c>
      <c r="BF39" s="126">
        <f t="shared" si="26"/>
        <v>0</v>
      </c>
      <c r="BG39" s="126">
        <f t="shared" si="27"/>
        <v>0</v>
      </c>
      <c r="BH39" s="126">
        <f t="shared" si="28"/>
        <v>0</v>
      </c>
      <c r="BI39" s="126">
        <f t="shared" si="29"/>
        <v>0</v>
      </c>
      <c r="BJ39" s="126">
        <f t="shared" si="30"/>
        <v>0</v>
      </c>
      <c r="BK39" s="126">
        <f t="shared" si="31"/>
        <v>0</v>
      </c>
      <c r="BL39" s="126">
        <f t="shared" si="32"/>
        <v>0</v>
      </c>
      <c r="BM39" s="126">
        <f t="shared" si="33"/>
        <v>0</v>
      </c>
      <c r="BN39" s="126">
        <f t="shared" si="34"/>
        <v>0</v>
      </c>
      <c r="BO39" s="126">
        <f t="shared" si="35"/>
        <v>0</v>
      </c>
      <c r="BP39" s="126">
        <f t="shared" si="36"/>
        <v>0</v>
      </c>
      <c r="BQ39" s="126">
        <f t="shared" si="37"/>
        <v>0</v>
      </c>
      <c r="BR39" s="126">
        <f t="shared" si="38"/>
        <v>0</v>
      </c>
      <c r="BS39" s="126">
        <f t="shared" si="39"/>
        <v>0</v>
      </c>
      <c r="BT39" s="126">
        <f t="shared" si="40"/>
        <v>0</v>
      </c>
      <c r="BU39" s="126">
        <f t="shared" si="41"/>
        <v>0</v>
      </c>
      <c r="BV39" s="126">
        <f t="shared" si="42"/>
        <v>0</v>
      </c>
      <c r="BW39" s="126">
        <f t="shared" si="43"/>
        <v>0</v>
      </c>
      <c r="BX39" s="126">
        <f t="shared" si="44"/>
        <v>0</v>
      </c>
      <c r="BY39" s="126">
        <f t="shared" si="45"/>
        <v>0</v>
      </c>
      <c r="BZ39" s="126">
        <f t="shared" si="46"/>
        <v>0</v>
      </c>
      <c r="CA39" s="126">
        <f t="shared" si="47"/>
        <v>0</v>
      </c>
      <c r="CB39" s="126">
        <f t="shared" si="48"/>
        <v>0</v>
      </c>
      <c r="CC39" s="126">
        <f t="shared" si="49"/>
        <v>0</v>
      </c>
      <c r="CD39" s="126">
        <f t="shared" si="50"/>
        <v>0</v>
      </c>
      <c r="CE39" s="126">
        <f t="shared" si="51"/>
        <v>0</v>
      </c>
      <c r="CF39" s="126">
        <f t="shared" si="52"/>
        <v>0</v>
      </c>
      <c r="CG39" s="126">
        <f t="shared" si="53"/>
        <v>0</v>
      </c>
      <c r="CH39" s="126">
        <f t="shared" si="54"/>
        <v>0</v>
      </c>
      <c r="CI39" s="126">
        <f t="shared" si="55"/>
        <v>0</v>
      </c>
      <c r="CJ39" s="126">
        <f t="shared" si="56"/>
        <v>0</v>
      </c>
      <c r="CK39" s="126"/>
    </row>
    <row r="40" spans="1:89" ht="9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 t="str">
        <f>'Construction and Materials'!B54</f>
        <v>Pick Assembly</v>
      </c>
      <c r="Q40" s="126" t="str">
        <f>'Construction and Materials'!C54</f>
        <v>Pick Type</v>
      </c>
      <c r="R40" s="129">
        <f>'Construction and Materials'!D54</f>
        <v>0</v>
      </c>
      <c r="S40" s="130">
        <f>IF(NOT(Q40="Pick Type"),VLOOKUP(Q40,'LCA Data'!$C$8:$S$107,6,FALSE)*Lists!R40,0)</f>
        <v>0</v>
      </c>
      <c r="T40" s="131">
        <f>IF(NOT(Q40="Pick Type"),VLOOKUP(Q40,'LCA Data'!$C$8:$S$107,10,FALSE)*Lists!R40,0)</f>
        <v>0</v>
      </c>
      <c r="U40" s="132">
        <f>IF(NOT(Q40="Pick Type"),VLOOKUP(Q40,'LCA Data'!$C$8:$S$107,14,FALSE)*Lists!R40,0)</f>
        <v>0</v>
      </c>
      <c r="V40" s="133">
        <f t="shared" si="1"/>
        <v>0</v>
      </c>
      <c r="W40" s="130">
        <f>IF(NOT(Q40="Pick Type"),VLOOKUP(Q40,'LCA Data'!$C$8:$S$107,7,FALSE)*Lists!R40,0)</f>
        <v>0</v>
      </c>
      <c r="X40" s="131">
        <f>IF(NOT(Q40="Pick Type"),VLOOKUP(Q40,'LCA Data'!$C$8:$S$107,11,FALSE)*Lists!R40,0)</f>
        <v>0</v>
      </c>
      <c r="Y40" s="132">
        <f>IF(NOT(Q40="Pick Type"),VLOOKUP(Q40,'LCA Data'!$C$8:$S$107,15,FALSE)*Lists!R40,0)</f>
        <v>0</v>
      </c>
      <c r="Z40" s="133">
        <f t="shared" si="2"/>
        <v>0</v>
      </c>
      <c r="AA40" s="130">
        <f>IF(NOT(Q40="Pick Type"),VLOOKUP(Q40,'LCA Data'!$C$8:$S$107,8,FALSE)*Lists!R40,0)</f>
        <v>0</v>
      </c>
      <c r="AB40" s="131">
        <f>IF(NOT(Q40="Pick Type"),VLOOKUP(Q40,'LCA Data'!$C$8:$S$107,12,FALSE)*Lists!R40,0)</f>
        <v>0</v>
      </c>
      <c r="AC40" s="132">
        <f>IF(NOT(Q40="Pick Type"),VLOOKUP(Q40,'LCA Data'!$C$8:$S$107,16,FALSE)*Lists!R40,0)</f>
        <v>0</v>
      </c>
      <c r="AD40" s="133">
        <f t="shared" si="3"/>
        <v>0</v>
      </c>
      <c r="AE40" s="134">
        <f>IF(NOT(Q40="Pick Type"),VLOOKUP(Q40,'LCA Data'!$C$8:$S$107,9,FALSE)*Lists!R40,0)</f>
        <v>0</v>
      </c>
      <c r="AF40" s="135">
        <f>IF(NOT(Q40="Pick Type"),VLOOKUP(Q40,'LCA Data'!$C$8:$S$107,13,FALSE)*Lists!R40,0)</f>
        <v>0</v>
      </c>
      <c r="AG40" s="136">
        <f>IF(NOT(Q40="Pick Type"),VLOOKUP(Q40,'LCA Data'!$C$8:$S$107,17,FALSE)*Lists!R40,0)</f>
        <v>0</v>
      </c>
      <c r="AH40" s="137">
        <f t="shared" si="4"/>
        <v>0</v>
      </c>
      <c r="AI40" s="126" t="e">
        <f t="shared" si="5"/>
        <v>#N/A</v>
      </c>
      <c r="AJ40" s="126"/>
      <c r="AK40" s="138" t="s">
        <v>312</v>
      </c>
      <c r="AL40" s="129">
        <f t="shared" si="6"/>
        <v>0</v>
      </c>
      <c r="AM40" s="126">
        <f t="shared" si="7"/>
        <v>0</v>
      </c>
      <c r="AN40" s="126">
        <f t="shared" si="8"/>
        <v>0</v>
      </c>
      <c r="AO40" s="126">
        <f t="shared" si="9"/>
        <v>0</v>
      </c>
      <c r="AP40" s="126">
        <f t="shared" si="10"/>
        <v>0</v>
      </c>
      <c r="AQ40" s="126">
        <f t="shared" si="11"/>
        <v>0</v>
      </c>
      <c r="AR40" s="126">
        <f t="shared" si="12"/>
        <v>0</v>
      </c>
      <c r="AS40" s="126">
        <f t="shared" si="13"/>
        <v>0</v>
      </c>
      <c r="AT40" s="126">
        <f t="shared" si="14"/>
        <v>0</v>
      </c>
      <c r="AU40" s="126">
        <f t="shared" si="15"/>
        <v>0</v>
      </c>
      <c r="AV40" s="126">
        <f t="shared" si="16"/>
        <v>0</v>
      </c>
      <c r="AW40" s="126">
        <f t="shared" si="17"/>
        <v>0</v>
      </c>
      <c r="AX40" s="126">
        <f t="shared" si="18"/>
        <v>0</v>
      </c>
      <c r="AY40" s="126">
        <f t="shared" si="19"/>
        <v>0</v>
      </c>
      <c r="AZ40" s="126">
        <f t="shared" si="20"/>
        <v>0</v>
      </c>
      <c r="BA40" s="126">
        <f t="shared" si="21"/>
        <v>0</v>
      </c>
      <c r="BB40" s="126">
        <f t="shared" si="22"/>
        <v>0</v>
      </c>
      <c r="BC40" s="126">
        <f t="shared" si="23"/>
        <v>0</v>
      </c>
      <c r="BD40" s="126">
        <f t="shared" si="24"/>
        <v>0</v>
      </c>
      <c r="BE40" s="126">
        <f t="shared" si="25"/>
        <v>0</v>
      </c>
      <c r="BF40" s="126">
        <f t="shared" si="26"/>
        <v>0</v>
      </c>
      <c r="BG40" s="126">
        <f t="shared" si="27"/>
        <v>0</v>
      </c>
      <c r="BH40" s="126">
        <f t="shared" si="28"/>
        <v>0</v>
      </c>
      <c r="BI40" s="126">
        <f t="shared" si="29"/>
        <v>0</v>
      </c>
      <c r="BJ40" s="126">
        <f t="shared" si="30"/>
        <v>0</v>
      </c>
      <c r="BK40" s="126">
        <f t="shared" si="31"/>
        <v>0</v>
      </c>
      <c r="BL40" s="126">
        <f t="shared" si="32"/>
        <v>0</v>
      </c>
      <c r="BM40" s="126">
        <f t="shared" si="33"/>
        <v>0</v>
      </c>
      <c r="BN40" s="126">
        <f t="shared" si="34"/>
        <v>0</v>
      </c>
      <c r="BO40" s="126">
        <f t="shared" si="35"/>
        <v>0</v>
      </c>
      <c r="BP40" s="126">
        <f t="shared" si="36"/>
        <v>0</v>
      </c>
      <c r="BQ40" s="126">
        <f t="shared" si="37"/>
        <v>0</v>
      </c>
      <c r="BR40" s="126">
        <f t="shared" si="38"/>
        <v>0</v>
      </c>
      <c r="BS40" s="126">
        <f t="shared" si="39"/>
        <v>0</v>
      </c>
      <c r="BT40" s="126">
        <f t="shared" si="40"/>
        <v>0</v>
      </c>
      <c r="BU40" s="126">
        <f t="shared" si="41"/>
        <v>0</v>
      </c>
      <c r="BV40" s="126">
        <f t="shared" si="42"/>
        <v>0</v>
      </c>
      <c r="BW40" s="126">
        <f t="shared" si="43"/>
        <v>0</v>
      </c>
      <c r="BX40" s="126">
        <f t="shared" si="44"/>
        <v>0</v>
      </c>
      <c r="BY40" s="126">
        <f t="shared" si="45"/>
        <v>0</v>
      </c>
      <c r="BZ40" s="126">
        <f t="shared" si="46"/>
        <v>0</v>
      </c>
      <c r="CA40" s="126">
        <f t="shared" si="47"/>
        <v>0</v>
      </c>
      <c r="CB40" s="126">
        <f t="shared" si="48"/>
        <v>0</v>
      </c>
      <c r="CC40" s="126">
        <f t="shared" si="49"/>
        <v>0</v>
      </c>
      <c r="CD40" s="126">
        <f t="shared" si="50"/>
        <v>0</v>
      </c>
      <c r="CE40" s="126">
        <f t="shared" si="51"/>
        <v>0</v>
      </c>
      <c r="CF40" s="126">
        <f t="shared" si="52"/>
        <v>0</v>
      </c>
      <c r="CG40" s="126">
        <f t="shared" si="53"/>
        <v>0</v>
      </c>
      <c r="CH40" s="126">
        <f t="shared" si="54"/>
        <v>0</v>
      </c>
      <c r="CI40" s="126">
        <f t="shared" si="55"/>
        <v>0</v>
      </c>
      <c r="CJ40" s="126">
        <f t="shared" si="56"/>
        <v>0</v>
      </c>
      <c r="CK40" s="126"/>
    </row>
    <row r="41" spans="1:89" ht="9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 t="str">
        <f>'Construction and Materials'!B55</f>
        <v>Pick Assembly</v>
      </c>
      <c r="Q41" s="126" t="str">
        <f>'Construction and Materials'!C55</f>
        <v>Pick Type</v>
      </c>
      <c r="R41" s="129">
        <f>'Construction and Materials'!D55</f>
        <v>0</v>
      </c>
      <c r="S41" s="130">
        <f>IF(NOT(Q41="Pick Type"),VLOOKUP(Q41,'LCA Data'!$C$8:$S$107,6,FALSE)*Lists!R41,0)</f>
        <v>0</v>
      </c>
      <c r="T41" s="131">
        <f>IF(NOT(Q41="Pick Type"),VLOOKUP(Q41,'LCA Data'!$C$8:$S$107,10,FALSE)*Lists!R41,0)</f>
        <v>0</v>
      </c>
      <c r="U41" s="132">
        <f>IF(NOT(Q41="Pick Type"),VLOOKUP(Q41,'LCA Data'!$C$8:$S$107,14,FALSE)*Lists!R41,0)</f>
        <v>0</v>
      </c>
      <c r="V41" s="133">
        <f t="shared" si="1"/>
        <v>0</v>
      </c>
      <c r="W41" s="130">
        <f>IF(NOT(Q41="Pick Type"),VLOOKUP(Q41,'LCA Data'!$C$8:$S$107,7,FALSE)*Lists!R41,0)</f>
        <v>0</v>
      </c>
      <c r="X41" s="131">
        <f>IF(NOT(Q41="Pick Type"),VLOOKUP(Q41,'LCA Data'!$C$8:$S$107,11,FALSE)*Lists!R41,0)</f>
        <v>0</v>
      </c>
      <c r="Y41" s="132">
        <f>IF(NOT(Q41="Pick Type"),VLOOKUP(Q41,'LCA Data'!$C$8:$S$107,15,FALSE)*Lists!R41,0)</f>
        <v>0</v>
      </c>
      <c r="Z41" s="133">
        <f t="shared" si="2"/>
        <v>0</v>
      </c>
      <c r="AA41" s="130">
        <f>IF(NOT(Q41="Pick Type"),VLOOKUP(Q41,'LCA Data'!$C$8:$S$107,8,FALSE)*Lists!R41,0)</f>
        <v>0</v>
      </c>
      <c r="AB41" s="131">
        <f>IF(NOT(Q41="Pick Type"),VLOOKUP(Q41,'LCA Data'!$C$8:$S$107,12,FALSE)*Lists!R41,0)</f>
        <v>0</v>
      </c>
      <c r="AC41" s="132">
        <f>IF(NOT(Q41="Pick Type"),VLOOKUP(Q41,'LCA Data'!$C$8:$S$107,16,FALSE)*Lists!R41,0)</f>
        <v>0</v>
      </c>
      <c r="AD41" s="133">
        <f t="shared" si="3"/>
        <v>0</v>
      </c>
      <c r="AE41" s="134">
        <f>IF(NOT(Q41="Pick Type"),VLOOKUP(Q41,'LCA Data'!$C$8:$S$107,9,FALSE)*Lists!R41,0)</f>
        <v>0</v>
      </c>
      <c r="AF41" s="135">
        <f>IF(NOT(Q41="Pick Type"),VLOOKUP(Q41,'LCA Data'!$C$8:$S$107,13,FALSE)*Lists!R41,0)</f>
        <v>0</v>
      </c>
      <c r="AG41" s="136">
        <f>IF(NOT(Q41="Pick Type"),VLOOKUP(Q41,'LCA Data'!$C$8:$S$107,17,FALSE)*Lists!R41,0)</f>
        <v>0</v>
      </c>
      <c r="AH41" s="137">
        <f t="shared" si="4"/>
        <v>0</v>
      </c>
      <c r="AI41" s="126" t="e">
        <f t="shared" si="5"/>
        <v>#N/A</v>
      </c>
      <c r="AJ41" s="126"/>
      <c r="AK41" s="138" t="s">
        <v>312</v>
      </c>
      <c r="AL41" s="129">
        <f t="shared" si="6"/>
        <v>0</v>
      </c>
      <c r="AM41" s="126">
        <f t="shared" si="7"/>
        <v>0</v>
      </c>
      <c r="AN41" s="126">
        <f t="shared" si="8"/>
        <v>0</v>
      </c>
      <c r="AO41" s="126">
        <f t="shared" si="9"/>
        <v>0</v>
      </c>
      <c r="AP41" s="126">
        <f t="shared" si="10"/>
        <v>0</v>
      </c>
      <c r="AQ41" s="126">
        <f t="shared" si="11"/>
        <v>0</v>
      </c>
      <c r="AR41" s="126">
        <f t="shared" si="12"/>
        <v>0</v>
      </c>
      <c r="AS41" s="126">
        <f t="shared" si="13"/>
        <v>0</v>
      </c>
      <c r="AT41" s="126">
        <f t="shared" si="14"/>
        <v>0</v>
      </c>
      <c r="AU41" s="126">
        <f t="shared" si="15"/>
        <v>0</v>
      </c>
      <c r="AV41" s="126">
        <f t="shared" si="16"/>
        <v>0</v>
      </c>
      <c r="AW41" s="126">
        <f t="shared" si="17"/>
        <v>0</v>
      </c>
      <c r="AX41" s="126">
        <f t="shared" si="18"/>
        <v>0</v>
      </c>
      <c r="AY41" s="126">
        <f t="shared" si="19"/>
        <v>0</v>
      </c>
      <c r="AZ41" s="126">
        <f t="shared" si="20"/>
        <v>0</v>
      </c>
      <c r="BA41" s="126">
        <f t="shared" si="21"/>
        <v>0</v>
      </c>
      <c r="BB41" s="126">
        <f t="shared" si="22"/>
        <v>0</v>
      </c>
      <c r="BC41" s="126">
        <f t="shared" si="23"/>
        <v>0</v>
      </c>
      <c r="BD41" s="126">
        <f t="shared" si="24"/>
        <v>0</v>
      </c>
      <c r="BE41" s="126">
        <f t="shared" si="25"/>
        <v>0</v>
      </c>
      <c r="BF41" s="126">
        <f t="shared" si="26"/>
        <v>0</v>
      </c>
      <c r="BG41" s="126">
        <f t="shared" si="27"/>
        <v>0</v>
      </c>
      <c r="BH41" s="126">
        <f t="shared" si="28"/>
        <v>0</v>
      </c>
      <c r="BI41" s="126">
        <f t="shared" si="29"/>
        <v>0</v>
      </c>
      <c r="BJ41" s="126">
        <f t="shared" si="30"/>
        <v>0</v>
      </c>
      <c r="BK41" s="126">
        <f t="shared" si="31"/>
        <v>0</v>
      </c>
      <c r="BL41" s="126">
        <f t="shared" si="32"/>
        <v>0</v>
      </c>
      <c r="BM41" s="126">
        <f t="shared" si="33"/>
        <v>0</v>
      </c>
      <c r="BN41" s="126">
        <f t="shared" si="34"/>
        <v>0</v>
      </c>
      <c r="BO41" s="126">
        <f t="shared" si="35"/>
        <v>0</v>
      </c>
      <c r="BP41" s="126">
        <f t="shared" si="36"/>
        <v>0</v>
      </c>
      <c r="BQ41" s="126">
        <f t="shared" si="37"/>
        <v>0</v>
      </c>
      <c r="BR41" s="126">
        <f t="shared" si="38"/>
        <v>0</v>
      </c>
      <c r="BS41" s="126">
        <f t="shared" si="39"/>
        <v>0</v>
      </c>
      <c r="BT41" s="126">
        <f t="shared" si="40"/>
        <v>0</v>
      </c>
      <c r="BU41" s="126">
        <f t="shared" si="41"/>
        <v>0</v>
      </c>
      <c r="BV41" s="126">
        <f t="shared" si="42"/>
        <v>0</v>
      </c>
      <c r="BW41" s="126">
        <f t="shared" si="43"/>
        <v>0</v>
      </c>
      <c r="BX41" s="126">
        <f t="shared" si="44"/>
        <v>0</v>
      </c>
      <c r="BY41" s="126">
        <f t="shared" si="45"/>
        <v>0</v>
      </c>
      <c r="BZ41" s="126">
        <f t="shared" si="46"/>
        <v>0</v>
      </c>
      <c r="CA41" s="126">
        <f t="shared" si="47"/>
        <v>0</v>
      </c>
      <c r="CB41" s="126">
        <f t="shared" si="48"/>
        <v>0</v>
      </c>
      <c r="CC41" s="126">
        <f t="shared" si="49"/>
        <v>0</v>
      </c>
      <c r="CD41" s="126">
        <f t="shared" si="50"/>
        <v>0</v>
      </c>
      <c r="CE41" s="126">
        <f t="shared" si="51"/>
        <v>0</v>
      </c>
      <c r="CF41" s="126">
        <f t="shared" si="52"/>
        <v>0</v>
      </c>
      <c r="CG41" s="126">
        <f t="shared" si="53"/>
        <v>0</v>
      </c>
      <c r="CH41" s="126">
        <f t="shared" si="54"/>
        <v>0</v>
      </c>
      <c r="CI41" s="126">
        <f t="shared" si="55"/>
        <v>0</v>
      </c>
      <c r="CJ41" s="126">
        <f t="shared" si="56"/>
        <v>0</v>
      </c>
      <c r="CK41" s="126"/>
    </row>
    <row r="42" spans="1:89" ht="9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 t="str">
        <f>'Construction and Materials'!B56</f>
        <v>Pick Assembly</v>
      </c>
      <c r="Q42" s="126" t="str">
        <f>'Construction and Materials'!C56</f>
        <v>Pick Type</v>
      </c>
      <c r="R42" s="129">
        <f>'Construction and Materials'!D56</f>
        <v>0</v>
      </c>
      <c r="S42" s="130">
        <f>IF(NOT(Q42="Pick Type"),VLOOKUP(Q42,'LCA Data'!$C$8:$S$107,6,FALSE)*Lists!R42,0)</f>
        <v>0</v>
      </c>
      <c r="T42" s="131">
        <f>IF(NOT(Q42="Pick Type"),VLOOKUP(Q42,'LCA Data'!$C$8:$S$107,10,FALSE)*Lists!R42,0)</f>
        <v>0</v>
      </c>
      <c r="U42" s="132">
        <f>IF(NOT(Q42="Pick Type"),VLOOKUP(Q42,'LCA Data'!$C$8:$S$107,14,FALSE)*Lists!R42,0)</f>
        <v>0</v>
      </c>
      <c r="V42" s="133">
        <f t="shared" si="1"/>
        <v>0</v>
      </c>
      <c r="W42" s="130">
        <f>IF(NOT(Q42="Pick Type"),VLOOKUP(Q42,'LCA Data'!$C$8:$S$107,7,FALSE)*Lists!R42,0)</f>
        <v>0</v>
      </c>
      <c r="X42" s="131">
        <f>IF(NOT(Q42="Pick Type"),VLOOKUP(Q42,'LCA Data'!$C$8:$S$107,11,FALSE)*Lists!R42,0)</f>
        <v>0</v>
      </c>
      <c r="Y42" s="132">
        <f>IF(NOT(Q42="Pick Type"),VLOOKUP(Q42,'LCA Data'!$C$8:$S$107,15,FALSE)*Lists!R42,0)</f>
        <v>0</v>
      </c>
      <c r="Z42" s="133">
        <f t="shared" si="2"/>
        <v>0</v>
      </c>
      <c r="AA42" s="130">
        <f>IF(NOT(Q42="Pick Type"),VLOOKUP(Q42,'LCA Data'!$C$8:$S$107,8,FALSE)*Lists!R42,0)</f>
        <v>0</v>
      </c>
      <c r="AB42" s="131">
        <f>IF(NOT(Q42="Pick Type"),VLOOKUP(Q42,'LCA Data'!$C$8:$S$107,12,FALSE)*Lists!R42,0)</f>
        <v>0</v>
      </c>
      <c r="AC42" s="132">
        <f>IF(NOT(Q42="Pick Type"),VLOOKUP(Q42,'LCA Data'!$C$8:$S$107,16,FALSE)*Lists!R42,0)</f>
        <v>0</v>
      </c>
      <c r="AD42" s="133">
        <f t="shared" si="3"/>
        <v>0</v>
      </c>
      <c r="AE42" s="134">
        <f>IF(NOT(Q42="Pick Type"),VLOOKUP(Q42,'LCA Data'!$C$8:$S$107,9,FALSE)*Lists!R42,0)</f>
        <v>0</v>
      </c>
      <c r="AF42" s="135">
        <f>IF(NOT(Q42="Pick Type"),VLOOKUP(Q42,'LCA Data'!$C$8:$S$107,13,FALSE)*Lists!R42,0)</f>
        <v>0</v>
      </c>
      <c r="AG42" s="136">
        <f>IF(NOT(Q42="Pick Type"),VLOOKUP(Q42,'LCA Data'!$C$8:$S$107,17,FALSE)*Lists!R42,0)</f>
        <v>0</v>
      </c>
      <c r="AH42" s="137">
        <f t="shared" si="4"/>
        <v>0</v>
      </c>
      <c r="AI42" s="126" t="e">
        <f t="shared" si="5"/>
        <v>#N/A</v>
      </c>
      <c r="AJ42" s="126"/>
      <c r="AK42" s="138" t="s">
        <v>312</v>
      </c>
      <c r="AL42" s="129">
        <f t="shared" si="6"/>
        <v>0</v>
      </c>
      <c r="AM42" s="126">
        <f t="shared" si="7"/>
        <v>0</v>
      </c>
      <c r="AN42" s="126">
        <f t="shared" si="8"/>
        <v>0</v>
      </c>
      <c r="AO42" s="126">
        <f t="shared" si="9"/>
        <v>0</v>
      </c>
      <c r="AP42" s="126">
        <f t="shared" si="10"/>
        <v>0</v>
      </c>
      <c r="AQ42" s="126">
        <f t="shared" si="11"/>
        <v>0</v>
      </c>
      <c r="AR42" s="126">
        <f t="shared" si="12"/>
        <v>0</v>
      </c>
      <c r="AS42" s="126">
        <f t="shared" si="13"/>
        <v>0</v>
      </c>
      <c r="AT42" s="126">
        <f t="shared" si="14"/>
        <v>0</v>
      </c>
      <c r="AU42" s="126">
        <f t="shared" si="15"/>
        <v>0</v>
      </c>
      <c r="AV42" s="126">
        <f t="shared" si="16"/>
        <v>0</v>
      </c>
      <c r="AW42" s="126">
        <f t="shared" si="17"/>
        <v>0</v>
      </c>
      <c r="AX42" s="126">
        <f t="shared" si="18"/>
        <v>0</v>
      </c>
      <c r="AY42" s="126">
        <f t="shared" si="19"/>
        <v>0</v>
      </c>
      <c r="AZ42" s="126">
        <f t="shared" si="20"/>
        <v>0</v>
      </c>
      <c r="BA42" s="126">
        <f t="shared" si="21"/>
        <v>0</v>
      </c>
      <c r="BB42" s="126">
        <f t="shared" si="22"/>
        <v>0</v>
      </c>
      <c r="BC42" s="126">
        <f t="shared" si="23"/>
        <v>0</v>
      </c>
      <c r="BD42" s="126">
        <f t="shared" si="24"/>
        <v>0</v>
      </c>
      <c r="BE42" s="126">
        <f t="shared" si="25"/>
        <v>0</v>
      </c>
      <c r="BF42" s="126">
        <f t="shared" si="26"/>
        <v>0</v>
      </c>
      <c r="BG42" s="126">
        <f t="shared" si="27"/>
        <v>0</v>
      </c>
      <c r="BH42" s="126">
        <f t="shared" si="28"/>
        <v>0</v>
      </c>
      <c r="BI42" s="126">
        <f t="shared" si="29"/>
        <v>0</v>
      </c>
      <c r="BJ42" s="126">
        <f t="shared" si="30"/>
        <v>0</v>
      </c>
      <c r="BK42" s="126">
        <f t="shared" si="31"/>
        <v>0</v>
      </c>
      <c r="BL42" s="126">
        <f t="shared" si="32"/>
        <v>0</v>
      </c>
      <c r="BM42" s="126">
        <f t="shared" si="33"/>
        <v>0</v>
      </c>
      <c r="BN42" s="126">
        <f t="shared" si="34"/>
        <v>0</v>
      </c>
      <c r="BO42" s="126">
        <f t="shared" si="35"/>
        <v>0</v>
      </c>
      <c r="BP42" s="126">
        <f t="shared" si="36"/>
        <v>0</v>
      </c>
      <c r="BQ42" s="126">
        <f t="shared" si="37"/>
        <v>0</v>
      </c>
      <c r="BR42" s="126">
        <f t="shared" si="38"/>
        <v>0</v>
      </c>
      <c r="BS42" s="126">
        <f t="shared" si="39"/>
        <v>0</v>
      </c>
      <c r="BT42" s="126">
        <f t="shared" si="40"/>
        <v>0</v>
      </c>
      <c r="BU42" s="126">
        <f t="shared" si="41"/>
        <v>0</v>
      </c>
      <c r="BV42" s="126">
        <f t="shared" si="42"/>
        <v>0</v>
      </c>
      <c r="BW42" s="126">
        <f t="shared" si="43"/>
        <v>0</v>
      </c>
      <c r="BX42" s="126">
        <f t="shared" si="44"/>
        <v>0</v>
      </c>
      <c r="BY42" s="126">
        <f t="shared" si="45"/>
        <v>0</v>
      </c>
      <c r="BZ42" s="126">
        <f t="shared" si="46"/>
        <v>0</v>
      </c>
      <c r="CA42" s="126">
        <f t="shared" si="47"/>
        <v>0</v>
      </c>
      <c r="CB42" s="126">
        <f t="shared" si="48"/>
        <v>0</v>
      </c>
      <c r="CC42" s="126">
        <f t="shared" si="49"/>
        <v>0</v>
      </c>
      <c r="CD42" s="126">
        <f t="shared" si="50"/>
        <v>0</v>
      </c>
      <c r="CE42" s="126">
        <f t="shared" si="51"/>
        <v>0</v>
      </c>
      <c r="CF42" s="126">
        <f t="shared" si="52"/>
        <v>0</v>
      </c>
      <c r="CG42" s="126">
        <f t="shared" si="53"/>
        <v>0</v>
      </c>
      <c r="CH42" s="126">
        <f t="shared" si="54"/>
        <v>0</v>
      </c>
      <c r="CI42" s="126">
        <f t="shared" si="55"/>
        <v>0</v>
      </c>
      <c r="CJ42" s="126">
        <f t="shared" si="56"/>
        <v>0</v>
      </c>
      <c r="CK42" s="126"/>
    </row>
    <row r="43" spans="1:89" ht="9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 t="str">
        <f>'Construction and Materials'!B57</f>
        <v>Pick Assembly</v>
      </c>
      <c r="Q43" s="126" t="str">
        <f>'Construction and Materials'!C57</f>
        <v>Pick Type</v>
      </c>
      <c r="R43" s="129">
        <f>'Construction and Materials'!D57</f>
        <v>0</v>
      </c>
      <c r="S43" s="130">
        <f>IF(NOT(Q43="Pick Type"),VLOOKUP(Q43,'LCA Data'!$C$8:$S$107,6,FALSE)*Lists!R43,0)</f>
        <v>0</v>
      </c>
      <c r="T43" s="131">
        <f>IF(NOT(Q43="Pick Type"),VLOOKUP(Q43,'LCA Data'!$C$8:$S$107,10,FALSE)*Lists!R43,0)</f>
        <v>0</v>
      </c>
      <c r="U43" s="132">
        <f>IF(NOT(Q43="Pick Type"),VLOOKUP(Q43,'LCA Data'!$C$8:$S$107,14,FALSE)*Lists!R43,0)</f>
        <v>0</v>
      </c>
      <c r="V43" s="133">
        <f t="shared" si="1"/>
        <v>0</v>
      </c>
      <c r="W43" s="130">
        <f>IF(NOT(Q43="Pick Type"),VLOOKUP(Q43,'LCA Data'!$C$8:$S$107,7,FALSE)*Lists!R43,0)</f>
        <v>0</v>
      </c>
      <c r="X43" s="131">
        <f>IF(NOT(Q43="Pick Type"),VLOOKUP(Q43,'LCA Data'!$C$8:$S$107,11,FALSE)*Lists!R43,0)</f>
        <v>0</v>
      </c>
      <c r="Y43" s="132">
        <f>IF(NOT(Q43="Pick Type"),VLOOKUP(Q43,'LCA Data'!$C$8:$S$107,15,FALSE)*Lists!R43,0)</f>
        <v>0</v>
      </c>
      <c r="Z43" s="133">
        <f t="shared" si="2"/>
        <v>0</v>
      </c>
      <c r="AA43" s="130">
        <f>IF(NOT(Q43="Pick Type"),VLOOKUP(Q43,'LCA Data'!$C$8:$S$107,8,FALSE)*Lists!R43,0)</f>
        <v>0</v>
      </c>
      <c r="AB43" s="131">
        <f>IF(NOT(Q43="Pick Type"),VLOOKUP(Q43,'LCA Data'!$C$8:$S$107,12,FALSE)*Lists!R43,0)</f>
        <v>0</v>
      </c>
      <c r="AC43" s="132">
        <f>IF(NOT(Q43="Pick Type"),VLOOKUP(Q43,'LCA Data'!$C$8:$S$107,16,FALSE)*Lists!R43,0)</f>
        <v>0</v>
      </c>
      <c r="AD43" s="133">
        <f t="shared" si="3"/>
        <v>0</v>
      </c>
      <c r="AE43" s="134">
        <f>IF(NOT(Q43="Pick Type"),VLOOKUP(Q43,'LCA Data'!$C$8:$S$107,9,FALSE)*Lists!R43,0)</f>
        <v>0</v>
      </c>
      <c r="AF43" s="135">
        <f>IF(NOT(Q43="Pick Type"),VLOOKUP(Q43,'LCA Data'!$C$8:$S$107,13,FALSE)*Lists!R43,0)</f>
        <v>0</v>
      </c>
      <c r="AG43" s="136">
        <f>IF(NOT(Q43="Pick Type"),VLOOKUP(Q43,'LCA Data'!$C$8:$S$107,17,FALSE)*Lists!R43,0)</f>
        <v>0</v>
      </c>
      <c r="AH43" s="137">
        <f t="shared" si="4"/>
        <v>0</v>
      </c>
      <c r="AI43" s="126" t="e">
        <f t="shared" si="5"/>
        <v>#N/A</v>
      </c>
      <c r="AJ43" s="126"/>
      <c r="AK43" s="138" t="s">
        <v>312</v>
      </c>
      <c r="AL43" s="129">
        <f t="shared" si="6"/>
        <v>0</v>
      </c>
      <c r="AM43" s="126">
        <f t="shared" si="7"/>
        <v>0</v>
      </c>
      <c r="AN43" s="126">
        <f t="shared" si="8"/>
        <v>0</v>
      </c>
      <c r="AO43" s="126">
        <f t="shared" si="9"/>
        <v>0</v>
      </c>
      <c r="AP43" s="126">
        <f t="shared" si="10"/>
        <v>0</v>
      </c>
      <c r="AQ43" s="126">
        <f t="shared" si="11"/>
        <v>0</v>
      </c>
      <c r="AR43" s="126">
        <f t="shared" si="12"/>
        <v>0</v>
      </c>
      <c r="AS43" s="126">
        <f t="shared" si="13"/>
        <v>0</v>
      </c>
      <c r="AT43" s="126">
        <f t="shared" si="14"/>
        <v>0</v>
      </c>
      <c r="AU43" s="126">
        <f t="shared" si="15"/>
        <v>0</v>
      </c>
      <c r="AV43" s="126">
        <f t="shared" si="16"/>
        <v>0</v>
      </c>
      <c r="AW43" s="126">
        <f t="shared" si="17"/>
        <v>0</v>
      </c>
      <c r="AX43" s="126">
        <f t="shared" si="18"/>
        <v>0</v>
      </c>
      <c r="AY43" s="126">
        <f t="shared" si="19"/>
        <v>0</v>
      </c>
      <c r="AZ43" s="126">
        <f t="shared" si="20"/>
        <v>0</v>
      </c>
      <c r="BA43" s="126">
        <f t="shared" si="21"/>
        <v>0</v>
      </c>
      <c r="BB43" s="126">
        <f t="shared" si="22"/>
        <v>0</v>
      </c>
      <c r="BC43" s="126">
        <f t="shared" si="23"/>
        <v>0</v>
      </c>
      <c r="BD43" s="126">
        <f t="shared" si="24"/>
        <v>0</v>
      </c>
      <c r="BE43" s="126">
        <f t="shared" si="25"/>
        <v>0</v>
      </c>
      <c r="BF43" s="126">
        <f t="shared" si="26"/>
        <v>0</v>
      </c>
      <c r="BG43" s="126">
        <f t="shared" si="27"/>
        <v>0</v>
      </c>
      <c r="BH43" s="126">
        <f t="shared" si="28"/>
        <v>0</v>
      </c>
      <c r="BI43" s="126">
        <f t="shared" si="29"/>
        <v>0</v>
      </c>
      <c r="BJ43" s="126">
        <f t="shared" si="30"/>
        <v>0</v>
      </c>
      <c r="BK43" s="126">
        <f t="shared" si="31"/>
        <v>0</v>
      </c>
      <c r="BL43" s="126">
        <f t="shared" si="32"/>
        <v>0</v>
      </c>
      <c r="BM43" s="126">
        <f t="shared" si="33"/>
        <v>0</v>
      </c>
      <c r="BN43" s="126">
        <f t="shared" si="34"/>
        <v>0</v>
      </c>
      <c r="BO43" s="126">
        <f t="shared" si="35"/>
        <v>0</v>
      </c>
      <c r="BP43" s="126">
        <f t="shared" si="36"/>
        <v>0</v>
      </c>
      <c r="BQ43" s="126">
        <f t="shared" si="37"/>
        <v>0</v>
      </c>
      <c r="BR43" s="126">
        <f t="shared" si="38"/>
        <v>0</v>
      </c>
      <c r="BS43" s="126">
        <f t="shared" si="39"/>
        <v>0</v>
      </c>
      <c r="BT43" s="126">
        <f t="shared" si="40"/>
        <v>0</v>
      </c>
      <c r="BU43" s="126">
        <f t="shared" si="41"/>
        <v>0</v>
      </c>
      <c r="BV43" s="126">
        <f t="shared" si="42"/>
        <v>0</v>
      </c>
      <c r="BW43" s="126">
        <f t="shared" si="43"/>
        <v>0</v>
      </c>
      <c r="BX43" s="126">
        <f t="shared" si="44"/>
        <v>0</v>
      </c>
      <c r="BY43" s="126">
        <f t="shared" si="45"/>
        <v>0</v>
      </c>
      <c r="BZ43" s="126">
        <f t="shared" si="46"/>
        <v>0</v>
      </c>
      <c r="CA43" s="126">
        <f t="shared" si="47"/>
        <v>0</v>
      </c>
      <c r="CB43" s="126">
        <f t="shared" si="48"/>
        <v>0</v>
      </c>
      <c r="CC43" s="126">
        <f t="shared" si="49"/>
        <v>0</v>
      </c>
      <c r="CD43" s="126">
        <f t="shared" si="50"/>
        <v>0</v>
      </c>
      <c r="CE43" s="126">
        <f t="shared" si="51"/>
        <v>0</v>
      </c>
      <c r="CF43" s="126">
        <f t="shared" si="52"/>
        <v>0</v>
      </c>
      <c r="CG43" s="126">
        <f t="shared" si="53"/>
        <v>0</v>
      </c>
      <c r="CH43" s="126">
        <f t="shared" si="54"/>
        <v>0</v>
      </c>
      <c r="CI43" s="126">
        <f t="shared" si="55"/>
        <v>0</v>
      </c>
      <c r="CJ43" s="126">
        <f t="shared" si="56"/>
        <v>0</v>
      </c>
      <c r="CK43" s="126"/>
    </row>
    <row r="44" spans="1:89" ht="9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 t="str">
        <f>'Construction and Materials'!B58</f>
        <v>Pick Assembly</v>
      </c>
      <c r="Q44" s="126" t="str">
        <f>'Construction and Materials'!C58</f>
        <v>Pick Type</v>
      </c>
      <c r="R44" s="129">
        <f>'Construction and Materials'!D58</f>
        <v>0</v>
      </c>
      <c r="S44" s="130">
        <f>IF(NOT(Q44="Pick Type"),VLOOKUP(Q44,'LCA Data'!$C$8:$S$107,6,FALSE)*Lists!R44,0)</f>
        <v>0</v>
      </c>
      <c r="T44" s="131">
        <f>IF(NOT(Q44="Pick Type"),VLOOKUP(Q44,'LCA Data'!$C$8:$S$107,10,FALSE)*Lists!R44,0)</f>
        <v>0</v>
      </c>
      <c r="U44" s="132">
        <f>IF(NOT(Q44="Pick Type"),VLOOKUP(Q44,'LCA Data'!$C$8:$S$107,14,FALSE)*Lists!R44,0)</f>
        <v>0</v>
      </c>
      <c r="V44" s="133">
        <f t="shared" si="1"/>
        <v>0</v>
      </c>
      <c r="W44" s="130">
        <f>IF(NOT(Q44="Pick Type"),VLOOKUP(Q44,'LCA Data'!$C$8:$S$107,7,FALSE)*Lists!R44,0)</f>
        <v>0</v>
      </c>
      <c r="X44" s="131">
        <f>IF(NOT(Q44="Pick Type"),VLOOKUP(Q44,'LCA Data'!$C$8:$S$107,11,FALSE)*Lists!R44,0)</f>
        <v>0</v>
      </c>
      <c r="Y44" s="132">
        <f>IF(NOT(Q44="Pick Type"),VLOOKUP(Q44,'LCA Data'!$C$8:$S$107,15,FALSE)*Lists!R44,0)</f>
        <v>0</v>
      </c>
      <c r="Z44" s="133">
        <f t="shared" si="2"/>
        <v>0</v>
      </c>
      <c r="AA44" s="130">
        <f>IF(NOT(Q44="Pick Type"),VLOOKUP(Q44,'LCA Data'!$C$8:$S$107,8,FALSE)*Lists!R44,0)</f>
        <v>0</v>
      </c>
      <c r="AB44" s="131">
        <f>IF(NOT(Q44="Pick Type"),VLOOKUP(Q44,'LCA Data'!$C$8:$S$107,12,FALSE)*Lists!R44,0)</f>
        <v>0</v>
      </c>
      <c r="AC44" s="132">
        <f>IF(NOT(Q44="Pick Type"),VLOOKUP(Q44,'LCA Data'!$C$8:$S$107,16,FALSE)*Lists!R44,0)</f>
        <v>0</v>
      </c>
      <c r="AD44" s="133">
        <f t="shared" si="3"/>
        <v>0</v>
      </c>
      <c r="AE44" s="134">
        <f>IF(NOT(Q44="Pick Type"),VLOOKUP(Q44,'LCA Data'!$C$8:$S$107,9,FALSE)*Lists!R44,0)</f>
        <v>0</v>
      </c>
      <c r="AF44" s="135">
        <f>IF(NOT(Q44="Pick Type"),VLOOKUP(Q44,'LCA Data'!$C$8:$S$107,13,FALSE)*Lists!R44,0)</f>
        <v>0</v>
      </c>
      <c r="AG44" s="136">
        <f>IF(NOT(Q44="Pick Type"),VLOOKUP(Q44,'LCA Data'!$C$8:$S$107,17,FALSE)*Lists!R44,0)</f>
        <v>0</v>
      </c>
      <c r="AH44" s="137">
        <f t="shared" si="4"/>
        <v>0</v>
      </c>
      <c r="AI44" s="126" t="e">
        <f t="shared" si="5"/>
        <v>#N/A</v>
      </c>
      <c r="AJ44" s="126"/>
      <c r="AK44" s="138" t="s">
        <v>312</v>
      </c>
      <c r="AL44" s="129">
        <f t="shared" si="6"/>
        <v>0</v>
      </c>
      <c r="AM44" s="126">
        <f t="shared" si="7"/>
        <v>0</v>
      </c>
      <c r="AN44" s="126">
        <f t="shared" si="8"/>
        <v>0</v>
      </c>
      <c r="AO44" s="126">
        <f t="shared" si="9"/>
        <v>0</v>
      </c>
      <c r="AP44" s="126">
        <f t="shared" si="10"/>
        <v>0</v>
      </c>
      <c r="AQ44" s="126">
        <f t="shared" si="11"/>
        <v>0</v>
      </c>
      <c r="AR44" s="126">
        <f t="shared" si="12"/>
        <v>0</v>
      </c>
      <c r="AS44" s="126">
        <f t="shared" si="13"/>
        <v>0</v>
      </c>
      <c r="AT44" s="126">
        <f t="shared" si="14"/>
        <v>0</v>
      </c>
      <c r="AU44" s="126">
        <f t="shared" si="15"/>
        <v>0</v>
      </c>
      <c r="AV44" s="126">
        <f t="shared" si="16"/>
        <v>0</v>
      </c>
      <c r="AW44" s="126">
        <f t="shared" si="17"/>
        <v>0</v>
      </c>
      <c r="AX44" s="126">
        <f t="shared" si="18"/>
        <v>0</v>
      </c>
      <c r="AY44" s="126">
        <f t="shared" si="19"/>
        <v>0</v>
      </c>
      <c r="AZ44" s="126">
        <f t="shared" si="20"/>
        <v>0</v>
      </c>
      <c r="BA44" s="126">
        <f t="shared" si="21"/>
        <v>0</v>
      </c>
      <c r="BB44" s="126">
        <f t="shared" si="22"/>
        <v>0</v>
      </c>
      <c r="BC44" s="126">
        <f t="shared" si="23"/>
        <v>0</v>
      </c>
      <c r="BD44" s="126">
        <f t="shared" si="24"/>
        <v>0</v>
      </c>
      <c r="BE44" s="126">
        <f t="shared" si="25"/>
        <v>0</v>
      </c>
      <c r="BF44" s="126">
        <f t="shared" si="26"/>
        <v>0</v>
      </c>
      <c r="BG44" s="126">
        <f t="shared" si="27"/>
        <v>0</v>
      </c>
      <c r="BH44" s="126">
        <f t="shared" si="28"/>
        <v>0</v>
      </c>
      <c r="BI44" s="126">
        <f t="shared" si="29"/>
        <v>0</v>
      </c>
      <c r="BJ44" s="126">
        <f t="shared" si="30"/>
        <v>0</v>
      </c>
      <c r="BK44" s="126">
        <f t="shared" si="31"/>
        <v>0</v>
      </c>
      <c r="BL44" s="126">
        <f t="shared" si="32"/>
        <v>0</v>
      </c>
      <c r="BM44" s="126">
        <f t="shared" si="33"/>
        <v>0</v>
      </c>
      <c r="BN44" s="126">
        <f t="shared" si="34"/>
        <v>0</v>
      </c>
      <c r="BO44" s="126">
        <f t="shared" si="35"/>
        <v>0</v>
      </c>
      <c r="BP44" s="126">
        <f t="shared" si="36"/>
        <v>0</v>
      </c>
      <c r="BQ44" s="126">
        <f t="shared" si="37"/>
        <v>0</v>
      </c>
      <c r="BR44" s="126">
        <f t="shared" si="38"/>
        <v>0</v>
      </c>
      <c r="BS44" s="126">
        <f t="shared" si="39"/>
        <v>0</v>
      </c>
      <c r="BT44" s="126">
        <f t="shared" si="40"/>
        <v>0</v>
      </c>
      <c r="BU44" s="126">
        <f t="shared" si="41"/>
        <v>0</v>
      </c>
      <c r="BV44" s="126">
        <f t="shared" si="42"/>
        <v>0</v>
      </c>
      <c r="BW44" s="126">
        <f t="shared" si="43"/>
        <v>0</v>
      </c>
      <c r="BX44" s="126">
        <f t="shared" si="44"/>
        <v>0</v>
      </c>
      <c r="BY44" s="126">
        <f t="shared" si="45"/>
        <v>0</v>
      </c>
      <c r="BZ44" s="126">
        <f t="shared" si="46"/>
        <v>0</v>
      </c>
      <c r="CA44" s="126">
        <f t="shared" si="47"/>
        <v>0</v>
      </c>
      <c r="CB44" s="126">
        <f t="shared" si="48"/>
        <v>0</v>
      </c>
      <c r="CC44" s="126">
        <f t="shared" si="49"/>
        <v>0</v>
      </c>
      <c r="CD44" s="126">
        <f t="shared" si="50"/>
        <v>0</v>
      </c>
      <c r="CE44" s="126">
        <f t="shared" si="51"/>
        <v>0</v>
      </c>
      <c r="CF44" s="126">
        <f t="shared" si="52"/>
        <v>0</v>
      </c>
      <c r="CG44" s="126">
        <f t="shared" si="53"/>
        <v>0</v>
      </c>
      <c r="CH44" s="126">
        <f t="shared" si="54"/>
        <v>0</v>
      </c>
      <c r="CI44" s="126">
        <f t="shared" si="55"/>
        <v>0</v>
      </c>
      <c r="CJ44" s="126">
        <f t="shared" si="56"/>
        <v>0</v>
      </c>
      <c r="CK44" s="126"/>
    </row>
    <row r="45" spans="1:89" ht="9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40" t="s">
        <v>316</v>
      </c>
      <c r="AL45" s="140">
        <v>0</v>
      </c>
      <c r="AM45" s="141">
        <f>'Use Phase'!$F$19+'Use Phase'!$F$20+'Use Phase'!$F$23+'Use Phase'!$F$25+'Use Phase'!$F$27+'Use Phase'!$F$29+'Use Phase'!$F$39+'Use Phase'!$F$40</f>
        <v>908.28107999999997</v>
      </c>
      <c r="AN45" s="141">
        <f>'Use Phase'!$F$19+'Use Phase'!$F$20+'Use Phase'!$F$23+'Use Phase'!$F$25+'Use Phase'!$F$27+'Use Phase'!$F$29+'Use Phase'!$F$39+'Use Phase'!$F$40</f>
        <v>908.28107999999997</v>
      </c>
      <c r="AO45" s="141">
        <f>'Use Phase'!$F$19+'Use Phase'!$F$20+'Use Phase'!$F$23+'Use Phase'!$F$25+'Use Phase'!$F$27+'Use Phase'!$F$29+'Use Phase'!$F$39+'Use Phase'!$F$40</f>
        <v>908.28107999999997</v>
      </c>
      <c r="AP45" s="141">
        <f>'Use Phase'!$F$19+'Use Phase'!$F$20+'Use Phase'!$F$23+'Use Phase'!$F$25+'Use Phase'!$F$27+'Use Phase'!$F$29+'Use Phase'!$F$39+'Use Phase'!$F$40</f>
        <v>908.28107999999997</v>
      </c>
      <c r="AQ45" s="141">
        <f>'Use Phase'!$F$19+'Use Phase'!$F$20+'Use Phase'!$F$23+'Use Phase'!$F$25+'Use Phase'!$F$27+'Use Phase'!$F$29+'Use Phase'!$F$39+'Use Phase'!$F$40</f>
        <v>908.28107999999997</v>
      </c>
      <c r="AR45" s="141">
        <f>'Use Phase'!$F$19+'Use Phase'!$F$20+'Use Phase'!$F$23+'Use Phase'!$F$25+'Use Phase'!$F$27+'Use Phase'!$F$29+'Use Phase'!$F$39+'Use Phase'!$F$40</f>
        <v>908.28107999999997</v>
      </c>
      <c r="AS45" s="141">
        <f>'Use Phase'!$F$19+'Use Phase'!$F$20+'Use Phase'!$F$23+'Use Phase'!$F$25+'Use Phase'!$F$27+'Use Phase'!$F$29+'Use Phase'!$F$39+'Use Phase'!$F$40</f>
        <v>908.28107999999997</v>
      </c>
      <c r="AT45" s="141">
        <f>'Use Phase'!$F$19+'Use Phase'!$F$20+'Use Phase'!$F$23+'Use Phase'!$F$25+'Use Phase'!$F$27+'Use Phase'!$F$29+'Use Phase'!$F$39+'Use Phase'!$F$40</f>
        <v>908.28107999999997</v>
      </c>
      <c r="AU45" s="141">
        <f>'Use Phase'!$F$19+'Use Phase'!$F$20+'Use Phase'!$F$23+'Use Phase'!$F$25+'Use Phase'!$F$27+'Use Phase'!$F$29+'Use Phase'!$F$39+'Use Phase'!$F$40</f>
        <v>908.28107999999997</v>
      </c>
      <c r="AV45" s="141">
        <f>'Use Phase'!$F$19+'Use Phase'!$F$20+'Use Phase'!$F$23+'Use Phase'!$F$25+'Use Phase'!$F$27+'Use Phase'!$F$29+'Use Phase'!$F$39+'Use Phase'!$F$40</f>
        <v>908.28107999999997</v>
      </c>
      <c r="AW45" s="141">
        <f>'Use Phase'!$F$19+'Use Phase'!$F$20+'Use Phase'!$F$23+'Use Phase'!$F$25+'Use Phase'!$F$27+'Use Phase'!$F$29+'Use Phase'!$F$39+'Use Phase'!$F$40</f>
        <v>908.28107999999997</v>
      </c>
      <c r="AX45" s="141">
        <f>'Use Phase'!$F$19+'Use Phase'!$F$20+'Use Phase'!$F$23+'Use Phase'!$F$25+'Use Phase'!$F$27+'Use Phase'!$F$29+'Use Phase'!$F$39+'Use Phase'!$F$40</f>
        <v>908.28107999999997</v>
      </c>
      <c r="AY45" s="141">
        <f>'Use Phase'!$F$19+'Use Phase'!$F$20+'Use Phase'!$F$23+'Use Phase'!$F$25+'Use Phase'!$F$27+'Use Phase'!$F$29+'Use Phase'!$F$39+'Use Phase'!$F$40</f>
        <v>908.28107999999997</v>
      </c>
      <c r="AZ45" s="141">
        <f>'Use Phase'!$F$19+'Use Phase'!$F$20+'Use Phase'!$F$23+'Use Phase'!$F$25+'Use Phase'!$F$27+'Use Phase'!$F$29+'Use Phase'!$F$39+'Use Phase'!$F$40</f>
        <v>908.28107999999997</v>
      </c>
      <c r="BA45" s="141">
        <f>'Use Phase'!$F$19+'Use Phase'!$F$20+'Use Phase'!$F$23+'Use Phase'!$F$25+'Use Phase'!$F$27+'Use Phase'!$F$29+'Use Phase'!$F$39+'Use Phase'!$F$40</f>
        <v>908.28107999999997</v>
      </c>
      <c r="BB45" s="141">
        <f>'Use Phase'!$F$19+'Use Phase'!$F$20+'Use Phase'!$F$23+'Use Phase'!$F$25+'Use Phase'!$F$27+'Use Phase'!$F$29+'Use Phase'!$F$39+'Use Phase'!$F$40</f>
        <v>908.28107999999997</v>
      </c>
      <c r="BC45" s="141">
        <f>'Use Phase'!$F$19+'Use Phase'!$F$20+'Use Phase'!$F$23+'Use Phase'!$F$25+'Use Phase'!$F$27+'Use Phase'!$F$29+'Use Phase'!$F$39+'Use Phase'!$F$40</f>
        <v>908.28107999999997</v>
      </c>
      <c r="BD45" s="141">
        <f>'Use Phase'!$F$19+'Use Phase'!$F$20+'Use Phase'!$F$23+'Use Phase'!$F$25+'Use Phase'!$F$27+'Use Phase'!$F$29+'Use Phase'!$F$39+'Use Phase'!$F$40</f>
        <v>908.28107999999997</v>
      </c>
      <c r="BE45" s="141">
        <f>'Use Phase'!$F$19+'Use Phase'!$F$20+'Use Phase'!$F$23+'Use Phase'!$F$25+'Use Phase'!$F$27+'Use Phase'!$F$29+'Use Phase'!$F$39+'Use Phase'!$F$40</f>
        <v>908.28107999999997</v>
      </c>
      <c r="BF45" s="141">
        <f>'Use Phase'!$F$19+'Use Phase'!$F$20+'Use Phase'!$F$23+'Use Phase'!$F$25+'Use Phase'!$F$27+'Use Phase'!$F$29+'Use Phase'!$F$39+'Use Phase'!$F$40</f>
        <v>908.28107999999997</v>
      </c>
      <c r="BG45" s="141">
        <f>'Use Phase'!$F$19+'Use Phase'!$F$20+'Use Phase'!$F$23+'Use Phase'!$F$25+'Use Phase'!$F$27+'Use Phase'!$F$29+'Use Phase'!$F$39+'Use Phase'!$F$40</f>
        <v>908.28107999999997</v>
      </c>
      <c r="BH45" s="141">
        <f>'Use Phase'!$F$19+'Use Phase'!$F$20+'Use Phase'!$F$23+'Use Phase'!$F$25+'Use Phase'!$F$27+'Use Phase'!$F$29+'Use Phase'!$F$39+'Use Phase'!$F$40</f>
        <v>908.28107999999997</v>
      </c>
      <c r="BI45" s="141">
        <f>'Use Phase'!$F$19+'Use Phase'!$F$20+'Use Phase'!$F$23+'Use Phase'!$F$25+'Use Phase'!$F$27+'Use Phase'!$F$29+'Use Phase'!$F$39+'Use Phase'!$F$40</f>
        <v>908.28107999999997</v>
      </c>
      <c r="BJ45" s="141">
        <f>'Use Phase'!$F$19+'Use Phase'!$F$20+'Use Phase'!$F$23+'Use Phase'!$F$25+'Use Phase'!$F$27+'Use Phase'!$F$29+'Use Phase'!$F$39+'Use Phase'!$F$40</f>
        <v>908.28107999999997</v>
      </c>
      <c r="BK45" s="141">
        <f>'Use Phase'!$F$19+'Use Phase'!$F$20+'Use Phase'!$F$23+'Use Phase'!$F$25+'Use Phase'!$F$27+'Use Phase'!$F$29+'Use Phase'!$F$39+'Use Phase'!$F$40</f>
        <v>908.28107999999997</v>
      </c>
      <c r="BL45" s="141">
        <f>'Use Phase'!$F$19+'Use Phase'!$F$20+'Use Phase'!$F$23+'Use Phase'!$F$25+'Use Phase'!$F$27+'Use Phase'!$F$29+'Use Phase'!$F$39+'Use Phase'!$F$40</f>
        <v>908.28107999999997</v>
      </c>
      <c r="BM45" s="141">
        <f>'Use Phase'!$F$19+'Use Phase'!$F$20+'Use Phase'!$F$23+'Use Phase'!$F$25+'Use Phase'!$F$27+'Use Phase'!$F$29+'Use Phase'!$F$39+'Use Phase'!$F$40</f>
        <v>908.28107999999997</v>
      </c>
      <c r="BN45" s="141">
        <f>'Use Phase'!$F$19+'Use Phase'!$F$20+'Use Phase'!$F$23+'Use Phase'!$F$25+'Use Phase'!$F$27+'Use Phase'!$F$29+'Use Phase'!$F$39+'Use Phase'!$F$40</f>
        <v>908.28107999999997</v>
      </c>
      <c r="BO45" s="141">
        <f>'Use Phase'!$F$19+'Use Phase'!$F$20+'Use Phase'!$F$23+'Use Phase'!$F$25+'Use Phase'!$F$27+'Use Phase'!$F$29+'Use Phase'!$F$39+'Use Phase'!$F$40</f>
        <v>908.28107999999997</v>
      </c>
      <c r="BP45" s="141">
        <f>'Use Phase'!$F$19+'Use Phase'!$F$20+'Use Phase'!$F$23+'Use Phase'!$F$25+'Use Phase'!$F$27+'Use Phase'!$F$29+'Use Phase'!$F$39+'Use Phase'!$F$40</f>
        <v>908.28107999999997</v>
      </c>
      <c r="BQ45" s="141">
        <f>'Use Phase'!$F$19+'Use Phase'!$F$20+'Use Phase'!$F$23+'Use Phase'!$F$25+'Use Phase'!$F$27+'Use Phase'!$F$29+'Use Phase'!$F$39+'Use Phase'!$F$40</f>
        <v>908.28107999999997</v>
      </c>
      <c r="BR45" s="141">
        <f>'Use Phase'!$F$19+'Use Phase'!$F$20+'Use Phase'!$F$23+'Use Phase'!$F$25+'Use Phase'!$F$27+'Use Phase'!$F$29+'Use Phase'!$F$39+'Use Phase'!$F$40</f>
        <v>908.28107999999997</v>
      </c>
      <c r="BS45" s="141">
        <f>'Use Phase'!$F$19+'Use Phase'!$F$20+'Use Phase'!$F$23+'Use Phase'!$F$25+'Use Phase'!$F$27+'Use Phase'!$F$29+'Use Phase'!$F$39+'Use Phase'!$F$40</f>
        <v>908.28107999999997</v>
      </c>
      <c r="BT45" s="141">
        <f>'Use Phase'!$F$19+'Use Phase'!$F$20+'Use Phase'!$F$23+'Use Phase'!$F$25+'Use Phase'!$F$27+'Use Phase'!$F$29+'Use Phase'!$F$39+'Use Phase'!$F$40</f>
        <v>908.28107999999997</v>
      </c>
      <c r="BU45" s="141">
        <f>'Use Phase'!$F$19+'Use Phase'!$F$20+'Use Phase'!$F$23+'Use Phase'!$F$25+'Use Phase'!$F$27+'Use Phase'!$F$29+'Use Phase'!$F$39+'Use Phase'!$F$40</f>
        <v>908.28107999999997</v>
      </c>
      <c r="BV45" s="141">
        <f>'Use Phase'!$F$19+'Use Phase'!$F$20+'Use Phase'!$F$23+'Use Phase'!$F$25+'Use Phase'!$F$27+'Use Phase'!$F$29+'Use Phase'!$F$39+'Use Phase'!$F$40</f>
        <v>908.28107999999997</v>
      </c>
      <c r="BW45" s="141">
        <f>'Use Phase'!$F$19+'Use Phase'!$F$20+'Use Phase'!$F$23+'Use Phase'!$F$25+'Use Phase'!$F$27+'Use Phase'!$F$29+'Use Phase'!$F$39+'Use Phase'!$F$40</f>
        <v>908.28107999999997</v>
      </c>
      <c r="BX45" s="141">
        <f>'Use Phase'!$F$19+'Use Phase'!$F$20+'Use Phase'!$F$23+'Use Phase'!$F$25+'Use Phase'!$F$27+'Use Phase'!$F$29+'Use Phase'!$F$39+'Use Phase'!$F$40</f>
        <v>908.28107999999997</v>
      </c>
      <c r="BY45" s="141">
        <f>'Use Phase'!$F$19+'Use Phase'!$F$20+'Use Phase'!$F$23+'Use Phase'!$F$25+'Use Phase'!$F$27+'Use Phase'!$F$29+'Use Phase'!$F$39+'Use Phase'!$F$40</f>
        <v>908.28107999999997</v>
      </c>
      <c r="BZ45" s="141">
        <f>'Use Phase'!$F$19+'Use Phase'!$F$20+'Use Phase'!$F$23+'Use Phase'!$F$25+'Use Phase'!$F$27+'Use Phase'!$F$29+'Use Phase'!$F$39+'Use Phase'!$F$40</f>
        <v>908.28107999999997</v>
      </c>
      <c r="CA45" s="141">
        <f>'Use Phase'!$F$19+'Use Phase'!$F$20+'Use Phase'!$F$23+'Use Phase'!$F$25+'Use Phase'!$F$27+'Use Phase'!$F$29+'Use Phase'!$F$39+'Use Phase'!$F$40</f>
        <v>908.28107999999997</v>
      </c>
      <c r="CB45" s="141">
        <f>'Use Phase'!$F$19+'Use Phase'!$F$20+'Use Phase'!$F$23+'Use Phase'!$F$25+'Use Phase'!$F$27+'Use Phase'!$F$29+'Use Phase'!$F$39+'Use Phase'!$F$40</f>
        <v>908.28107999999997</v>
      </c>
      <c r="CC45" s="141">
        <f>'Use Phase'!$F$19+'Use Phase'!$F$20+'Use Phase'!$F$23+'Use Phase'!$F$25+'Use Phase'!$F$27+'Use Phase'!$F$29+'Use Phase'!$F$39+'Use Phase'!$F$40</f>
        <v>908.28107999999997</v>
      </c>
      <c r="CD45" s="141">
        <f>'Use Phase'!$F$19+'Use Phase'!$F$20+'Use Phase'!$F$23+'Use Phase'!$F$25+'Use Phase'!$F$27+'Use Phase'!$F$29+'Use Phase'!$F$39+'Use Phase'!$F$40</f>
        <v>908.28107999999997</v>
      </c>
      <c r="CE45" s="141">
        <f>'Use Phase'!$F$19+'Use Phase'!$F$20+'Use Phase'!$F$23+'Use Phase'!$F$25+'Use Phase'!$F$27+'Use Phase'!$F$29+'Use Phase'!$F$39+'Use Phase'!$F$40</f>
        <v>908.28107999999997</v>
      </c>
      <c r="CF45" s="141">
        <f>'Use Phase'!$F$19+'Use Phase'!$F$20+'Use Phase'!$F$23+'Use Phase'!$F$25+'Use Phase'!$F$27+'Use Phase'!$F$29+'Use Phase'!$F$39+'Use Phase'!$F$40</f>
        <v>908.28107999999997</v>
      </c>
      <c r="CG45" s="141">
        <f>'Use Phase'!$F$19+'Use Phase'!$F$20+'Use Phase'!$F$23+'Use Phase'!$F$25+'Use Phase'!$F$27+'Use Phase'!$F$29+'Use Phase'!$F$39+'Use Phase'!$F$40</f>
        <v>908.28107999999997</v>
      </c>
      <c r="CH45" s="141">
        <f>'Use Phase'!$F$19+'Use Phase'!$F$20+'Use Phase'!$F$23+'Use Phase'!$F$25+'Use Phase'!$F$27+'Use Phase'!$F$29+'Use Phase'!$F$39+'Use Phase'!$F$40</f>
        <v>908.28107999999997</v>
      </c>
      <c r="CI45" s="141">
        <f>'Use Phase'!$F$19+'Use Phase'!$F$20+'Use Phase'!$F$23+'Use Phase'!$F$25+'Use Phase'!$F$27+'Use Phase'!$F$29+'Use Phase'!$F$39+'Use Phase'!$F$40</f>
        <v>908.28107999999997</v>
      </c>
      <c r="CJ45" s="141">
        <f>'Use Phase'!$F$19+'Use Phase'!$F$20+'Use Phase'!$F$23+'Use Phase'!$F$25+'Use Phase'!$F$27+'Use Phase'!$F$29+'Use Phase'!$F$39+'Use Phase'!$F$40</f>
        <v>908.28107999999997</v>
      </c>
      <c r="CK45" s="126"/>
    </row>
    <row r="46" spans="1:89" ht="9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8" t="s">
        <v>291</v>
      </c>
      <c r="T46" s="128" t="s">
        <v>292</v>
      </c>
      <c r="U46" s="128" t="s">
        <v>293</v>
      </c>
      <c r="V46" s="128" t="s">
        <v>294</v>
      </c>
      <c r="W46" s="128" t="s">
        <v>295</v>
      </c>
      <c r="X46" s="128" t="s">
        <v>296</v>
      </c>
      <c r="Y46" s="128" t="s">
        <v>297</v>
      </c>
      <c r="Z46" s="128" t="s">
        <v>298</v>
      </c>
      <c r="AA46" s="128" t="s">
        <v>299</v>
      </c>
      <c r="AB46" s="128" t="s">
        <v>300</v>
      </c>
      <c r="AC46" s="128" t="s">
        <v>301</v>
      </c>
      <c r="AD46" s="128" t="s">
        <v>302</v>
      </c>
      <c r="AE46" s="128" t="s">
        <v>303</v>
      </c>
      <c r="AF46" s="128" t="s">
        <v>304</v>
      </c>
      <c r="AG46" s="128" t="s">
        <v>305</v>
      </c>
      <c r="AH46" s="128" t="s">
        <v>306</v>
      </c>
      <c r="AI46" s="126"/>
      <c r="AJ46" s="126"/>
      <c r="AK46" s="140" t="s">
        <v>317</v>
      </c>
      <c r="AL46" s="141">
        <f t="shared" ref="AL46:CJ46" si="57">SUM(AL4:AL45)</f>
        <v>1758238.5267832722</v>
      </c>
      <c r="AM46" s="141">
        <f t="shared" si="57"/>
        <v>908.28107999999997</v>
      </c>
      <c r="AN46" s="141">
        <f t="shared" si="57"/>
        <v>908.28107999999997</v>
      </c>
      <c r="AO46" s="141">
        <f t="shared" si="57"/>
        <v>908.28107999999997</v>
      </c>
      <c r="AP46" s="141">
        <f t="shared" si="57"/>
        <v>908.28107999999997</v>
      </c>
      <c r="AQ46" s="141">
        <f t="shared" si="57"/>
        <v>908.28107999999997</v>
      </c>
      <c r="AR46" s="141">
        <f t="shared" si="57"/>
        <v>908.28107999999997</v>
      </c>
      <c r="AS46" s="141">
        <f t="shared" si="57"/>
        <v>908.28107999999997</v>
      </c>
      <c r="AT46" s="141">
        <f t="shared" si="57"/>
        <v>908.28107999999997</v>
      </c>
      <c r="AU46" s="141">
        <f t="shared" si="57"/>
        <v>908.28107999999997</v>
      </c>
      <c r="AV46" s="141">
        <f t="shared" si="57"/>
        <v>908.28107999999997</v>
      </c>
      <c r="AW46" s="141">
        <f t="shared" si="57"/>
        <v>908.28107999999997</v>
      </c>
      <c r="AX46" s="141">
        <f t="shared" si="57"/>
        <v>908.28107999999997</v>
      </c>
      <c r="AY46" s="141">
        <f t="shared" si="57"/>
        <v>908.28107999999997</v>
      </c>
      <c r="AZ46" s="141">
        <f t="shared" si="57"/>
        <v>908.28107999999997</v>
      </c>
      <c r="BA46" s="141">
        <f t="shared" si="57"/>
        <v>908.28107999999997</v>
      </c>
      <c r="BB46" s="141">
        <f t="shared" si="57"/>
        <v>908.28107999999997</v>
      </c>
      <c r="BC46" s="141">
        <f t="shared" si="57"/>
        <v>908.28107999999997</v>
      </c>
      <c r="BD46" s="141">
        <f t="shared" si="57"/>
        <v>908.28107999999997</v>
      </c>
      <c r="BE46" s="141">
        <f t="shared" si="57"/>
        <v>908.28107999999997</v>
      </c>
      <c r="BF46" s="141">
        <f t="shared" si="57"/>
        <v>908.28107999999997</v>
      </c>
      <c r="BG46" s="141">
        <f t="shared" si="57"/>
        <v>908.28107999999997</v>
      </c>
      <c r="BH46" s="141">
        <f t="shared" si="57"/>
        <v>908.28107999999997</v>
      </c>
      <c r="BI46" s="141">
        <f t="shared" si="57"/>
        <v>908.28107999999997</v>
      </c>
      <c r="BJ46" s="141">
        <f t="shared" si="57"/>
        <v>908.28107999999997</v>
      </c>
      <c r="BK46" s="141">
        <f t="shared" si="57"/>
        <v>57328.761196048254</v>
      </c>
      <c r="BL46" s="141">
        <f t="shared" si="57"/>
        <v>908.28107999999997</v>
      </c>
      <c r="BM46" s="141">
        <f t="shared" si="57"/>
        <v>908.28107999999997</v>
      </c>
      <c r="BN46" s="141">
        <f t="shared" si="57"/>
        <v>908.28107999999997</v>
      </c>
      <c r="BO46" s="141">
        <f t="shared" si="57"/>
        <v>908.28107999999997</v>
      </c>
      <c r="BP46" s="141">
        <f t="shared" si="57"/>
        <v>104392.78107999999</v>
      </c>
      <c r="BQ46" s="141">
        <f t="shared" si="57"/>
        <v>908.28107999999997</v>
      </c>
      <c r="BR46" s="141">
        <f t="shared" si="57"/>
        <v>908.28107999999997</v>
      </c>
      <c r="BS46" s="141">
        <f t="shared" si="57"/>
        <v>908.28107999999997</v>
      </c>
      <c r="BT46" s="141">
        <f t="shared" si="57"/>
        <v>908.28107999999997</v>
      </c>
      <c r="BU46" s="141">
        <f t="shared" si="57"/>
        <v>1296.28108</v>
      </c>
      <c r="BV46" s="141">
        <f t="shared" si="57"/>
        <v>908.28107999999997</v>
      </c>
      <c r="BW46" s="141">
        <f t="shared" si="57"/>
        <v>908.28107999999997</v>
      </c>
      <c r="BX46" s="141">
        <f t="shared" si="57"/>
        <v>908.28107999999997</v>
      </c>
      <c r="BY46" s="141">
        <f t="shared" si="57"/>
        <v>908.28107999999997</v>
      </c>
      <c r="BZ46" s="141">
        <f t="shared" si="57"/>
        <v>29162.896736100414</v>
      </c>
      <c r="CA46" s="141">
        <f t="shared" si="57"/>
        <v>908.28107999999997</v>
      </c>
      <c r="CB46" s="141">
        <f t="shared" si="57"/>
        <v>908.28107999999997</v>
      </c>
      <c r="CC46" s="141">
        <f t="shared" si="57"/>
        <v>908.28107999999997</v>
      </c>
      <c r="CD46" s="141">
        <f t="shared" si="57"/>
        <v>908.28107999999997</v>
      </c>
      <c r="CE46" s="141">
        <f t="shared" si="57"/>
        <v>908.28107999999997</v>
      </c>
      <c r="CF46" s="141">
        <f t="shared" si="57"/>
        <v>908.28107999999997</v>
      </c>
      <c r="CG46" s="141">
        <f t="shared" si="57"/>
        <v>908.28107999999997</v>
      </c>
      <c r="CH46" s="141">
        <f t="shared" si="57"/>
        <v>908.28107999999997</v>
      </c>
      <c r="CI46" s="141">
        <f t="shared" si="57"/>
        <v>908.28107999999997</v>
      </c>
      <c r="CJ46" s="141">
        <f t="shared" si="57"/>
        <v>908.28107999999997</v>
      </c>
      <c r="CK46" s="126"/>
    </row>
    <row r="47" spans="1:89" ht="9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9">
        <f t="shared" ref="S47:AH47" si="58">SUM(S4:S44)</f>
        <v>789500.72727103392</v>
      </c>
      <c r="T47" s="129">
        <f t="shared" si="58"/>
        <v>47434.981118133946</v>
      </c>
      <c r="U47" s="129">
        <f t="shared" si="58"/>
        <v>921302.81839410414</v>
      </c>
      <c r="V47" s="129">
        <f t="shared" si="58"/>
        <v>1758238.5267832722</v>
      </c>
      <c r="W47" s="129">
        <f t="shared" si="58"/>
        <v>8697771.53213582</v>
      </c>
      <c r="X47" s="129">
        <f t="shared" si="58"/>
        <v>730529.07563135726</v>
      </c>
      <c r="Y47" s="129">
        <f t="shared" si="58"/>
        <v>12946776.25915157</v>
      </c>
      <c r="Z47" s="129">
        <f t="shared" si="58"/>
        <v>22375076.866918754</v>
      </c>
      <c r="AA47" s="129">
        <f t="shared" si="58"/>
        <v>8963649.6438869275</v>
      </c>
      <c r="AB47" s="129">
        <f t="shared" si="58"/>
        <v>169235.2574178082</v>
      </c>
      <c r="AC47" s="129">
        <f t="shared" si="58"/>
        <v>7675759.7925323397</v>
      </c>
      <c r="AD47" s="129">
        <f t="shared" si="58"/>
        <v>16808644.693837076</v>
      </c>
      <c r="AE47" s="142">
        <f t="shared" si="58"/>
        <v>3.5283364761978325E-2</v>
      </c>
      <c r="AF47" s="142">
        <f t="shared" si="58"/>
        <v>7.5268527937151801E-3</v>
      </c>
      <c r="AG47" s="142">
        <f t="shared" si="58"/>
        <v>3.7630014547804852E-5</v>
      </c>
      <c r="AH47" s="142">
        <f t="shared" si="58"/>
        <v>4.2847847570241321E-2</v>
      </c>
      <c r="AI47" s="126"/>
      <c r="AJ47" s="126"/>
      <c r="AK47" s="140" t="s">
        <v>318</v>
      </c>
      <c r="AL47" s="141">
        <f>AL46</f>
        <v>1758238.5267832722</v>
      </c>
      <c r="AM47" s="141">
        <f t="shared" ref="AM47:CJ47" si="59">AL47+AM46</f>
        <v>1759146.8078632723</v>
      </c>
      <c r="AN47" s="141">
        <f t="shared" si="59"/>
        <v>1760055.0889432724</v>
      </c>
      <c r="AO47" s="141">
        <f t="shared" si="59"/>
        <v>1760963.3700232725</v>
      </c>
      <c r="AP47" s="141">
        <f t="shared" si="59"/>
        <v>1761871.6511032726</v>
      </c>
      <c r="AQ47" s="141">
        <f t="shared" si="59"/>
        <v>1762779.9321832727</v>
      </c>
      <c r="AR47" s="141">
        <f t="shared" si="59"/>
        <v>1763688.2132632728</v>
      </c>
      <c r="AS47" s="141">
        <f t="shared" si="59"/>
        <v>1764596.4943432729</v>
      </c>
      <c r="AT47" s="141">
        <f t="shared" si="59"/>
        <v>1765504.775423273</v>
      </c>
      <c r="AU47" s="141">
        <f t="shared" si="59"/>
        <v>1766413.0565032731</v>
      </c>
      <c r="AV47" s="141">
        <f t="shared" si="59"/>
        <v>1767321.3375832732</v>
      </c>
      <c r="AW47" s="141">
        <f t="shared" si="59"/>
        <v>1768229.6186632733</v>
      </c>
      <c r="AX47" s="141">
        <f t="shared" si="59"/>
        <v>1769137.8997432734</v>
      </c>
      <c r="AY47" s="141">
        <f t="shared" si="59"/>
        <v>1770046.1808232735</v>
      </c>
      <c r="AZ47" s="141">
        <f t="shared" si="59"/>
        <v>1770954.4619032736</v>
      </c>
      <c r="BA47" s="141">
        <f t="shared" si="59"/>
        <v>1771862.7429832737</v>
      </c>
      <c r="BB47" s="141">
        <f t="shared" si="59"/>
        <v>1772771.0240632738</v>
      </c>
      <c r="BC47" s="141">
        <f t="shared" si="59"/>
        <v>1773679.3051432739</v>
      </c>
      <c r="BD47" s="141">
        <f t="shared" si="59"/>
        <v>1774587.586223274</v>
      </c>
      <c r="BE47" s="141">
        <f t="shared" si="59"/>
        <v>1775495.8673032741</v>
      </c>
      <c r="BF47" s="141">
        <f t="shared" si="59"/>
        <v>1776404.1483832742</v>
      </c>
      <c r="BG47" s="141">
        <f t="shared" si="59"/>
        <v>1777312.4294632743</v>
      </c>
      <c r="BH47" s="141">
        <f t="shared" si="59"/>
        <v>1778220.7105432744</v>
      </c>
      <c r="BI47" s="141">
        <f t="shared" si="59"/>
        <v>1779128.9916232745</v>
      </c>
      <c r="BJ47" s="141">
        <f t="shared" si="59"/>
        <v>1780037.2727032746</v>
      </c>
      <c r="BK47" s="141">
        <f t="shared" si="59"/>
        <v>1837366.0338993229</v>
      </c>
      <c r="BL47" s="141">
        <f t="shared" si="59"/>
        <v>1838274.314979323</v>
      </c>
      <c r="BM47" s="141">
        <f t="shared" si="59"/>
        <v>1839182.5960593231</v>
      </c>
      <c r="BN47" s="141">
        <f t="shared" si="59"/>
        <v>1840090.8771393232</v>
      </c>
      <c r="BO47" s="141">
        <f t="shared" si="59"/>
        <v>1840999.1582193233</v>
      </c>
      <c r="BP47" s="141">
        <f t="shared" si="59"/>
        <v>1945391.9392993231</v>
      </c>
      <c r="BQ47" s="141">
        <f t="shared" si="59"/>
        <v>1946300.2203793232</v>
      </c>
      <c r="BR47" s="141">
        <f t="shared" si="59"/>
        <v>1947208.5014593233</v>
      </c>
      <c r="BS47" s="141">
        <f t="shared" si="59"/>
        <v>1948116.7825393234</v>
      </c>
      <c r="BT47" s="141">
        <f t="shared" si="59"/>
        <v>1949025.0636193235</v>
      </c>
      <c r="BU47" s="141">
        <f t="shared" si="59"/>
        <v>1950321.3446993236</v>
      </c>
      <c r="BV47" s="141">
        <f t="shared" si="59"/>
        <v>1951229.6257793237</v>
      </c>
      <c r="BW47" s="141">
        <f t="shared" si="59"/>
        <v>1952137.9068593238</v>
      </c>
      <c r="BX47" s="141">
        <f t="shared" si="59"/>
        <v>1953046.187939324</v>
      </c>
      <c r="BY47" s="141">
        <f t="shared" si="59"/>
        <v>1953954.4690193241</v>
      </c>
      <c r="BZ47" s="141">
        <f t="shared" si="59"/>
        <v>1983117.3657554244</v>
      </c>
      <c r="CA47" s="141">
        <f t="shared" si="59"/>
        <v>1984025.6468354245</v>
      </c>
      <c r="CB47" s="141">
        <f t="shared" si="59"/>
        <v>1984933.9279154246</v>
      </c>
      <c r="CC47" s="141">
        <f t="shared" si="59"/>
        <v>1985842.2089954247</v>
      </c>
      <c r="CD47" s="141">
        <f t="shared" si="59"/>
        <v>1986750.4900754248</v>
      </c>
      <c r="CE47" s="141">
        <f t="shared" si="59"/>
        <v>1987658.7711554249</v>
      </c>
      <c r="CF47" s="141">
        <f t="shared" si="59"/>
        <v>1988567.052235425</v>
      </c>
      <c r="CG47" s="141">
        <f t="shared" si="59"/>
        <v>1989475.3333154251</v>
      </c>
      <c r="CH47" s="141">
        <f t="shared" si="59"/>
        <v>1990383.6143954252</v>
      </c>
      <c r="CI47" s="141">
        <f t="shared" si="59"/>
        <v>1991291.8954754253</v>
      </c>
      <c r="CJ47" s="141">
        <f t="shared" si="59"/>
        <v>1992200.1765554254</v>
      </c>
      <c r="CK47" s="126"/>
    </row>
    <row r="48" spans="1:89" ht="9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43">
        <f>S47/$V$47</f>
        <v>0.44902936390288251</v>
      </c>
      <c r="T48" s="143">
        <f>T47/$V$47</f>
        <v>2.6978695094866945E-2</v>
      </c>
      <c r="U48" s="143">
        <f>U47/$V$47</f>
        <v>0.52399194100225044</v>
      </c>
      <c r="V48" s="143">
        <f>V47/$V$47</f>
        <v>1</v>
      </c>
      <c r="W48" s="143">
        <f>W47/$Z$47</f>
        <v>0.38872588388714574</v>
      </c>
      <c r="X48" s="143">
        <f>X47/$Z$47</f>
        <v>3.2649231999351679E-2</v>
      </c>
      <c r="Y48" s="143">
        <f>Y47/$Z$47</f>
        <v>0.57862488411350232</v>
      </c>
      <c r="Z48" s="143">
        <f>Z47/$Z$47</f>
        <v>1</v>
      </c>
      <c r="AA48" s="143">
        <f>AA47/$AD$47</f>
        <v>0.53327616873081196</v>
      </c>
      <c r="AB48" s="143">
        <f>AB47/$AD$47</f>
        <v>1.0068346407480352E-2</v>
      </c>
      <c r="AC48" s="143">
        <f>AC47/$AD$47</f>
        <v>0.45665548486170765</v>
      </c>
      <c r="AD48" s="143">
        <f>AD47/$AD$47</f>
        <v>1</v>
      </c>
      <c r="AE48" s="143">
        <f>AE47/$AH$47</f>
        <v>0.82345711074838968</v>
      </c>
      <c r="AF48" s="143">
        <f>AF47/$AH$47</f>
        <v>0.17566466510076759</v>
      </c>
      <c r="AG48" s="143">
        <f>AG47/$AH$47</f>
        <v>8.7822415084251842E-4</v>
      </c>
      <c r="AH48" s="143">
        <f>AH47/$AH$47</f>
        <v>1</v>
      </c>
      <c r="AI48" s="126"/>
      <c r="AJ48" s="126"/>
      <c r="AK48" s="140" t="s">
        <v>319</v>
      </c>
      <c r="AL48" s="141">
        <f>Results!$C$9</f>
        <v>7396873.8461538451</v>
      </c>
      <c r="AM48" s="141">
        <f>Results!$C$9</f>
        <v>7396873.8461538451</v>
      </c>
      <c r="AN48" s="141">
        <f>Results!$C$9</f>
        <v>7396873.8461538451</v>
      </c>
      <c r="AO48" s="141">
        <f>Results!$C$9</f>
        <v>7396873.8461538451</v>
      </c>
      <c r="AP48" s="141">
        <f>Results!$C$9</f>
        <v>7396873.8461538451</v>
      </c>
      <c r="AQ48" s="141">
        <f>Results!$C$9</f>
        <v>7396873.8461538451</v>
      </c>
      <c r="AR48" s="141">
        <f>Results!$C$9</f>
        <v>7396873.8461538451</v>
      </c>
      <c r="AS48" s="141">
        <f>Results!$C$9</f>
        <v>7396873.8461538451</v>
      </c>
      <c r="AT48" s="141">
        <f>Results!$C$9</f>
        <v>7396873.8461538451</v>
      </c>
      <c r="AU48" s="141">
        <f>Results!$C$9</f>
        <v>7396873.8461538451</v>
      </c>
      <c r="AV48" s="141">
        <f>Results!$C$9</f>
        <v>7396873.8461538451</v>
      </c>
      <c r="AW48" s="141">
        <f>Results!$C$9</f>
        <v>7396873.8461538451</v>
      </c>
      <c r="AX48" s="141">
        <f>Results!$C$9</f>
        <v>7396873.8461538451</v>
      </c>
      <c r="AY48" s="141">
        <f>Results!$C$9</f>
        <v>7396873.8461538451</v>
      </c>
      <c r="AZ48" s="141">
        <f>Results!$C$9</f>
        <v>7396873.8461538451</v>
      </c>
      <c r="BA48" s="141">
        <f>Results!$C$9</f>
        <v>7396873.8461538451</v>
      </c>
      <c r="BB48" s="141">
        <f>Results!$C$9</f>
        <v>7396873.8461538451</v>
      </c>
      <c r="BC48" s="141">
        <f>Results!$C$9</f>
        <v>7396873.8461538451</v>
      </c>
      <c r="BD48" s="141">
        <f>Results!$C$9</f>
        <v>7396873.8461538451</v>
      </c>
      <c r="BE48" s="141">
        <f>Results!$C$9</f>
        <v>7396873.8461538451</v>
      </c>
      <c r="BF48" s="141">
        <f>Results!$C$9</f>
        <v>7396873.8461538451</v>
      </c>
      <c r="BG48" s="141">
        <f>Results!$C$9</f>
        <v>7396873.8461538451</v>
      </c>
      <c r="BH48" s="141">
        <f>Results!$C$9</f>
        <v>7396873.8461538451</v>
      </c>
      <c r="BI48" s="141">
        <f>Results!$C$9</f>
        <v>7396873.8461538451</v>
      </c>
      <c r="BJ48" s="141">
        <f>Results!$C$9</f>
        <v>7396873.8461538451</v>
      </c>
      <c r="BK48" s="141">
        <f>Results!$C$9</f>
        <v>7396873.8461538451</v>
      </c>
      <c r="BL48" s="141">
        <f>Results!$C$9</f>
        <v>7396873.8461538451</v>
      </c>
      <c r="BM48" s="141">
        <f>Results!$C$9</f>
        <v>7396873.8461538451</v>
      </c>
      <c r="BN48" s="141">
        <f>Results!$C$9</f>
        <v>7396873.8461538451</v>
      </c>
      <c r="BO48" s="141">
        <f>Results!$C$9</f>
        <v>7396873.8461538451</v>
      </c>
      <c r="BP48" s="141">
        <f>Results!$C$9</f>
        <v>7396873.8461538451</v>
      </c>
      <c r="BQ48" s="141">
        <f>Results!$C$9</f>
        <v>7396873.8461538451</v>
      </c>
      <c r="BR48" s="141">
        <f>Results!$C$9</f>
        <v>7396873.8461538451</v>
      </c>
      <c r="BS48" s="141">
        <f>Results!$C$9</f>
        <v>7396873.8461538451</v>
      </c>
      <c r="BT48" s="141">
        <f>Results!$C$9</f>
        <v>7396873.8461538451</v>
      </c>
      <c r="BU48" s="141">
        <f>Results!$C$9</f>
        <v>7396873.8461538451</v>
      </c>
      <c r="BV48" s="141">
        <f>Results!$C$9</f>
        <v>7396873.8461538451</v>
      </c>
      <c r="BW48" s="141">
        <f>Results!$C$9</f>
        <v>7396873.8461538451</v>
      </c>
      <c r="BX48" s="141">
        <f>Results!$C$9</f>
        <v>7396873.8461538451</v>
      </c>
      <c r="BY48" s="141">
        <f>Results!$C$9</f>
        <v>7396873.8461538451</v>
      </c>
      <c r="BZ48" s="141">
        <f>Results!$C$9</f>
        <v>7396873.8461538451</v>
      </c>
      <c r="CA48" s="141">
        <f>Results!$C$9</f>
        <v>7396873.8461538451</v>
      </c>
      <c r="CB48" s="141">
        <f>Results!$C$9</f>
        <v>7396873.8461538451</v>
      </c>
      <c r="CC48" s="141">
        <f>Results!$C$9</f>
        <v>7396873.8461538451</v>
      </c>
      <c r="CD48" s="141">
        <f>Results!$C$9</f>
        <v>7396873.8461538451</v>
      </c>
      <c r="CE48" s="141">
        <f>Results!$C$9</f>
        <v>7396873.8461538451</v>
      </c>
      <c r="CF48" s="141">
        <f>Results!$C$9</f>
        <v>7396873.8461538451</v>
      </c>
      <c r="CG48" s="141">
        <f>Results!$C$9</f>
        <v>7396873.8461538451</v>
      </c>
      <c r="CH48" s="141">
        <f>Results!$C$9</f>
        <v>7396873.8461538451</v>
      </c>
      <c r="CI48" s="141">
        <f>Results!$C$9</f>
        <v>7396873.8461538451</v>
      </c>
      <c r="CJ48" s="141">
        <f>Results!$C$9</f>
        <v>7396873.8461538451</v>
      </c>
      <c r="CK48" s="126"/>
    </row>
    <row r="49" spans="1:89" ht="9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40" t="s">
        <v>320</v>
      </c>
      <c r="AL49" s="141">
        <f t="shared" ref="AL49:CJ49" si="60">IF(AL47&gt;AL48,AL47-AL48,0)</f>
        <v>0</v>
      </c>
      <c r="AM49" s="141">
        <f t="shared" si="60"/>
        <v>0</v>
      </c>
      <c r="AN49" s="141">
        <f t="shared" si="60"/>
        <v>0</v>
      </c>
      <c r="AO49" s="141">
        <f t="shared" si="60"/>
        <v>0</v>
      </c>
      <c r="AP49" s="141">
        <f t="shared" si="60"/>
        <v>0</v>
      </c>
      <c r="AQ49" s="141">
        <f t="shared" si="60"/>
        <v>0</v>
      </c>
      <c r="AR49" s="141">
        <f t="shared" si="60"/>
        <v>0</v>
      </c>
      <c r="AS49" s="141">
        <f t="shared" si="60"/>
        <v>0</v>
      </c>
      <c r="AT49" s="141">
        <f t="shared" si="60"/>
        <v>0</v>
      </c>
      <c r="AU49" s="141">
        <f t="shared" si="60"/>
        <v>0</v>
      </c>
      <c r="AV49" s="141">
        <f t="shared" si="60"/>
        <v>0</v>
      </c>
      <c r="AW49" s="141">
        <f t="shared" si="60"/>
        <v>0</v>
      </c>
      <c r="AX49" s="141">
        <f t="shared" si="60"/>
        <v>0</v>
      </c>
      <c r="AY49" s="141">
        <f t="shared" si="60"/>
        <v>0</v>
      </c>
      <c r="AZ49" s="141">
        <f t="shared" si="60"/>
        <v>0</v>
      </c>
      <c r="BA49" s="141">
        <f t="shared" si="60"/>
        <v>0</v>
      </c>
      <c r="BB49" s="141">
        <f t="shared" si="60"/>
        <v>0</v>
      </c>
      <c r="BC49" s="141">
        <f t="shared" si="60"/>
        <v>0</v>
      </c>
      <c r="BD49" s="141">
        <f t="shared" si="60"/>
        <v>0</v>
      </c>
      <c r="BE49" s="141">
        <f t="shared" si="60"/>
        <v>0</v>
      </c>
      <c r="BF49" s="141">
        <f t="shared" si="60"/>
        <v>0</v>
      </c>
      <c r="BG49" s="141">
        <f t="shared" si="60"/>
        <v>0</v>
      </c>
      <c r="BH49" s="141">
        <f t="shared" si="60"/>
        <v>0</v>
      </c>
      <c r="BI49" s="141">
        <f t="shared" si="60"/>
        <v>0</v>
      </c>
      <c r="BJ49" s="141">
        <f t="shared" si="60"/>
        <v>0</v>
      </c>
      <c r="BK49" s="141">
        <f t="shared" si="60"/>
        <v>0</v>
      </c>
      <c r="BL49" s="141">
        <f t="shared" si="60"/>
        <v>0</v>
      </c>
      <c r="BM49" s="141">
        <f t="shared" si="60"/>
        <v>0</v>
      </c>
      <c r="BN49" s="141">
        <f t="shared" si="60"/>
        <v>0</v>
      </c>
      <c r="BO49" s="141">
        <f t="shared" si="60"/>
        <v>0</v>
      </c>
      <c r="BP49" s="141">
        <f t="shared" si="60"/>
        <v>0</v>
      </c>
      <c r="BQ49" s="141">
        <f t="shared" si="60"/>
        <v>0</v>
      </c>
      <c r="BR49" s="141">
        <f t="shared" si="60"/>
        <v>0</v>
      </c>
      <c r="BS49" s="141">
        <f t="shared" si="60"/>
        <v>0</v>
      </c>
      <c r="BT49" s="141">
        <f t="shared" si="60"/>
        <v>0</v>
      </c>
      <c r="BU49" s="141">
        <f t="shared" si="60"/>
        <v>0</v>
      </c>
      <c r="BV49" s="141">
        <f t="shared" si="60"/>
        <v>0</v>
      </c>
      <c r="BW49" s="141">
        <f t="shared" si="60"/>
        <v>0</v>
      </c>
      <c r="BX49" s="141">
        <f t="shared" si="60"/>
        <v>0</v>
      </c>
      <c r="BY49" s="141">
        <f t="shared" si="60"/>
        <v>0</v>
      </c>
      <c r="BZ49" s="141">
        <f t="shared" si="60"/>
        <v>0</v>
      </c>
      <c r="CA49" s="141">
        <f t="shared" si="60"/>
        <v>0</v>
      </c>
      <c r="CB49" s="141">
        <f t="shared" si="60"/>
        <v>0</v>
      </c>
      <c r="CC49" s="141">
        <f t="shared" si="60"/>
        <v>0</v>
      </c>
      <c r="CD49" s="141">
        <f t="shared" si="60"/>
        <v>0</v>
      </c>
      <c r="CE49" s="141">
        <f t="shared" si="60"/>
        <v>0</v>
      </c>
      <c r="CF49" s="141">
        <f t="shared" si="60"/>
        <v>0</v>
      </c>
      <c r="CG49" s="141">
        <f t="shared" si="60"/>
        <v>0</v>
      </c>
      <c r="CH49" s="141">
        <f t="shared" si="60"/>
        <v>0</v>
      </c>
      <c r="CI49" s="141">
        <f t="shared" si="60"/>
        <v>0</v>
      </c>
      <c r="CJ49" s="141">
        <f t="shared" si="60"/>
        <v>0</v>
      </c>
      <c r="CK49" s="126"/>
    </row>
    <row r="50" spans="1:89" ht="9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 t="s">
        <v>321</v>
      </c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40" t="s">
        <v>322</v>
      </c>
      <c r="AL50" s="144">
        <v>30</v>
      </c>
      <c r="AM50" s="144">
        <v>30</v>
      </c>
      <c r="AN50" s="144">
        <v>30</v>
      </c>
      <c r="AO50" s="144">
        <v>30</v>
      </c>
      <c r="AP50" s="144">
        <v>30</v>
      </c>
      <c r="AQ50" s="144">
        <v>30</v>
      </c>
      <c r="AR50" s="144">
        <v>30</v>
      </c>
      <c r="AS50" s="144">
        <v>30</v>
      </c>
      <c r="AT50" s="144">
        <v>30</v>
      </c>
      <c r="AU50" s="144">
        <v>30</v>
      </c>
      <c r="AV50" s="144">
        <v>30</v>
      </c>
      <c r="AW50" s="144">
        <v>30</v>
      </c>
      <c r="AX50" s="144">
        <v>30</v>
      </c>
      <c r="AY50" s="144">
        <v>30</v>
      </c>
      <c r="AZ50" s="144">
        <v>30</v>
      </c>
      <c r="BA50" s="144">
        <v>30</v>
      </c>
      <c r="BB50" s="144">
        <v>30</v>
      </c>
      <c r="BC50" s="144">
        <v>30</v>
      </c>
      <c r="BD50" s="144">
        <v>30</v>
      </c>
      <c r="BE50" s="144">
        <v>30</v>
      </c>
      <c r="BF50" s="144">
        <v>30</v>
      </c>
      <c r="BG50" s="144">
        <v>30</v>
      </c>
      <c r="BH50" s="144">
        <v>30</v>
      </c>
      <c r="BI50" s="144">
        <v>30</v>
      </c>
      <c r="BJ50" s="144">
        <v>30</v>
      </c>
      <c r="BK50" s="144">
        <v>30</v>
      </c>
      <c r="BL50" s="144">
        <v>30</v>
      </c>
      <c r="BM50" s="144">
        <v>30</v>
      </c>
      <c r="BN50" s="144">
        <v>30</v>
      </c>
      <c r="BO50" s="144">
        <v>30</v>
      </c>
      <c r="BP50" s="144">
        <v>30</v>
      </c>
      <c r="BQ50" s="144">
        <v>30</v>
      </c>
      <c r="BR50" s="144">
        <v>30</v>
      </c>
      <c r="BS50" s="144">
        <v>30</v>
      </c>
      <c r="BT50" s="144">
        <v>30</v>
      </c>
      <c r="BU50" s="144">
        <v>30</v>
      </c>
      <c r="BV50" s="144">
        <v>30</v>
      </c>
      <c r="BW50" s="144">
        <v>30</v>
      </c>
      <c r="BX50" s="144">
        <v>30</v>
      </c>
      <c r="BY50" s="144">
        <v>30</v>
      </c>
      <c r="BZ50" s="144">
        <v>30</v>
      </c>
      <c r="CA50" s="144">
        <v>30</v>
      </c>
      <c r="CB50" s="144">
        <v>30</v>
      </c>
      <c r="CC50" s="144">
        <v>30</v>
      </c>
      <c r="CD50" s="144">
        <v>30</v>
      </c>
      <c r="CE50" s="144">
        <v>30</v>
      </c>
      <c r="CF50" s="144">
        <v>30</v>
      </c>
      <c r="CG50" s="144">
        <v>30</v>
      </c>
      <c r="CH50" s="144">
        <v>30</v>
      </c>
      <c r="CI50" s="144">
        <v>30</v>
      </c>
      <c r="CJ50" s="144">
        <v>30</v>
      </c>
      <c r="CK50" s="126"/>
    </row>
    <row r="51" spans="1:89" ht="9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40" t="s">
        <v>323</v>
      </c>
      <c r="AL51" s="144">
        <f t="shared" ref="AL51:CJ51" si="61">AL49/1000*AL50</f>
        <v>0</v>
      </c>
      <c r="AM51" s="144">
        <f t="shared" si="61"/>
        <v>0</v>
      </c>
      <c r="AN51" s="144">
        <f t="shared" si="61"/>
        <v>0</v>
      </c>
      <c r="AO51" s="144">
        <f t="shared" si="61"/>
        <v>0</v>
      </c>
      <c r="AP51" s="144">
        <f t="shared" si="61"/>
        <v>0</v>
      </c>
      <c r="AQ51" s="144">
        <f t="shared" si="61"/>
        <v>0</v>
      </c>
      <c r="AR51" s="144">
        <f t="shared" si="61"/>
        <v>0</v>
      </c>
      <c r="AS51" s="144">
        <f t="shared" si="61"/>
        <v>0</v>
      </c>
      <c r="AT51" s="144">
        <f t="shared" si="61"/>
        <v>0</v>
      </c>
      <c r="AU51" s="144">
        <f t="shared" si="61"/>
        <v>0</v>
      </c>
      <c r="AV51" s="144">
        <f t="shared" si="61"/>
        <v>0</v>
      </c>
      <c r="AW51" s="144">
        <f t="shared" si="61"/>
        <v>0</v>
      </c>
      <c r="AX51" s="144">
        <f t="shared" si="61"/>
        <v>0</v>
      </c>
      <c r="AY51" s="144">
        <f t="shared" si="61"/>
        <v>0</v>
      </c>
      <c r="AZ51" s="144">
        <f t="shared" si="61"/>
        <v>0</v>
      </c>
      <c r="BA51" s="144">
        <f t="shared" si="61"/>
        <v>0</v>
      </c>
      <c r="BB51" s="144">
        <f t="shared" si="61"/>
        <v>0</v>
      </c>
      <c r="BC51" s="144">
        <f t="shared" si="61"/>
        <v>0</v>
      </c>
      <c r="BD51" s="144">
        <f t="shared" si="61"/>
        <v>0</v>
      </c>
      <c r="BE51" s="144">
        <f t="shared" si="61"/>
        <v>0</v>
      </c>
      <c r="BF51" s="144">
        <f t="shared" si="61"/>
        <v>0</v>
      </c>
      <c r="BG51" s="144">
        <f t="shared" si="61"/>
        <v>0</v>
      </c>
      <c r="BH51" s="144">
        <f t="shared" si="61"/>
        <v>0</v>
      </c>
      <c r="BI51" s="144">
        <f t="shared" si="61"/>
        <v>0</v>
      </c>
      <c r="BJ51" s="144">
        <f t="shared" si="61"/>
        <v>0</v>
      </c>
      <c r="BK51" s="144">
        <f t="shared" si="61"/>
        <v>0</v>
      </c>
      <c r="BL51" s="144">
        <f t="shared" si="61"/>
        <v>0</v>
      </c>
      <c r="BM51" s="144">
        <f t="shared" si="61"/>
        <v>0</v>
      </c>
      <c r="BN51" s="144">
        <f t="shared" si="61"/>
        <v>0</v>
      </c>
      <c r="BO51" s="144">
        <f t="shared" si="61"/>
        <v>0</v>
      </c>
      <c r="BP51" s="144">
        <f t="shared" si="61"/>
        <v>0</v>
      </c>
      <c r="BQ51" s="144">
        <f t="shared" si="61"/>
        <v>0</v>
      </c>
      <c r="BR51" s="144">
        <f t="shared" si="61"/>
        <v>0</v>
      </c>
      <c r="BS51" s="144">
        <f t="shared" si="61"/>
        <v>0</v>
      </c>
      <c r="BT51" s="144">
        <f t="shared" si="61"/>
        <v>0</v>
      </c>
      <c r="BU51" s="144">
        <f t="shared" si="61"/>
        <v>0</v>
      </c>
      <c r="BV51" s="144">
        <f t="shared" si="61"/>
        <v>0</v>
      </c>
      <c r="BW51" s="144">
        <f t="shared" si="61"/>
        <v>0</v>
      </c>
      <c r="BX51" s="144">
        <f t="shared" si="61"/>
        <v>0</v>
      </c>
      <c r="BY51" s="144">
        <f t="shared" si="61"/>
        <v>0</v>
      </c>
      <c r="BZ51" s="144">
        <f t="shared" si="61"/>
        <v>0</v>
      </c>
      <c r="CA51" s="144">
        <f t="shared" si="61"/>
        <v>0</v>
      </c>
      <c r="CB51" s="144">
        <f t="shared" si="61"/>
        <v>0</v>
      </c>
      <c r="CC51" s="144">
        <f t="shared" si="61"/>
        <v>0</v>
      </c>
      <c r="CD51" s="144">
        <f t="shared" si="61"/>
        <v>0</v>
      </c>
      <c r="CE51" s="144">
        <f t="shared" si="61"/>
        <v>0</v>
      </c>
      <c r="CF51" s="144">
        <f t="shared" si="61"/>
        <v>0</v>
      </c>
      <c r="CG51" s="144">
        <f t="shared" si="61"/>
        <v>0</v>
      </c>
      <c r="CH51" s="144">
        <f t="shared" si="61"/>
        <v>0</v>
      </c>
      <c r="CI51" s="144">
        <f t="shared" si="61"/>
        <v>0</v>
      </c>
      <c r="CJ51" s="144">
        <f t="shared" si="61"/>
        <v>0</v>
      </c>
      <c r="CK51" s="145">
        <f>CJ51</f>
        <v>0</v>
      </c>
    </row>
    <row r="52" spans="1:89" ht="9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</row>
    <row r="53" spans="1:89" ht="9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  <c r="BL53" s="126"/>
      <c r="BM53" s="126"/>
      <c r="BN53" s="126"/>
      <c r="BO53" s="126"/>
      <c r="BP53" s="126"/>
      <c r="BQ53" s="126"/>
      <c r="BR53" s="126"/>
      <c r="BS53" s="126"/>
      <c r="BT53" s="126"/>
      <c r="BU53" s="126"/>
      <c r="BV53" s="126"/>
      <c r="BW53" s="126"/>
      <c r="BX53" s="126"/>
      <c r="BY53" s="126"/>
      <c r="BZ53" s="126"/>
      <c r="CA53" s="126"/>
      <c r="CB53" s="126"/>
      <c r="CC53" s="126"/>
      <c r="CD53" s="126"/>
      <c r="CE53" s="126"/>
      <c r="CF53" s="126"/>
      <c r="CG53" s="126"/>
      <c r="CH53" s="126"/>
      <c r="CI53" s="126"/>
      <c r="CJ53" s="126"/>
      <c r="CK53" s="126"/>
    </row>
    <row r="54" spans="1:89" ht="9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6"/>
      <c r="CF54" s="126"/>
      <c r="CG54" s="126"/>
      <c r="CH54" s="126"/>
      <c r="CI54" s="126"/>
      <c r="CJ54" s="126"/>
      <c r="CK54" s="126"/>
    </row>
    <row r="55" spans="1:89" ht="9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</row>
    <row r="56" spans="1:89" ht="9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126"/>
      <c r="BS56" s="126"/>
      <c r="BT56" s="126"/>
      <c r="BU56" s="126"/>
      <c r="BV56" s="126"/>
      <c r="BW56" s="126"/>
      <c r="BX56" s="126"/>
      <c r="BY56" s="126"/>
      <c r="BZ56" s="126"/>
      <c r="CA56" s="126"/>
      <c r="CB56" s="126"/>
      <c r="CC56" s="126"/>
      <c r="CD56" s="126"/>
      <c r="CE56" s="126"/>
      <c r="CF56" s="126"/>
      <c r="CG56" s="126"/>
      <c r="CH56" s="126"/>
      <c r="CI56" s="126"/>
      <c r="CJ56" s="126"/>
      <c r="CK56" s="126"/>
    </row>
    <row r="57" spans="1:89" ht="9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/>
      <c r="BN57" s="126"/>
      <c r="BO57" s="126"/>
      <c r="BP57" s="126"/>
      <c r="BQ57" s="126"/>
      <c r="BR57" s="126"/>
      <c r="BS57" s="126"/>
      <c r="BT57" s="126"/>
      <c r="BU57" s="126"/>
      <c r="BV57" s="126"/>
      <c r="BW57" s="126"/>
      <c r="BX57" s="126"/>
      <c r="BY57" s="126"/>
      <c r="BZ57" s="126"/>
      <c r="CA57" s="126"/>
      <c r="CB57" s="126"/>
      <c r="CC57" s="126"/>
      <c r="CD57" s="126"/>
      <c r="CE57" s="126"/>
      <c r="CF57" s="126"/>
      <c r="CG57" s="126"/>
      <c r="CH57" s="126"/>
      <c r="CI57" s="126"/>
      <c r="CJ57" s="126"/>
      <c r="CK57" s="126"/>
    </row>
    <row r="58" spans="1:89" ht="9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6"/>
      <c r="BJ58" s="126"/>
      <c r="BK58" s="126"/>
      <c r="BL58" s="126"/>
      <c r="BM58" s="126"/>
      <c r="BN58" s="126"/>
      <c r="BO58" s="126"/>
      <c r="BP58" s="126"/>
      <c r="BQ58" s="126"/>
      <c r="BR58" s="126"/>
      <c r="BS58" s="126"/>
      <c r="BT58" s="126"/>
      <c r="BU58" s="126"/>
      <c r="BV58" s="126"/>
      <c r="BW58" s="126"/>
      <c r="BX58" s="126"/>
      <c r="BY58" s="126"/>
      <c r="BZ58" s="126"/>
      <c r="CA58" s="126"/>
      <c r="CB58" s="126"/>
      <c r="CC58" s="126"/>
      <c r="CD58" s="126"/>
      <c r="CE58" s="126"/>
      <c r="CF58" s="126"/>
      <c r="CG58" s="126"/>
      <c r="CH58" s="126"/>
      <c r="CI58" s="126"/>
      <c r="CJ58" s="126"/>
      <c r="CK58" s="126"/>
    </row>
    <row r="59" spans="1:89" ht="9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26"/>
      <c r="BK59" s="126"/>
      <c r="BL59" s="126"/>
      <c r="BM59" s="126"/>
      <c r="BN59" s="126"/>
      <c r="BO59" s="126"/>
      <c r="BP59" s="126"/>
      <c r="BQ59" s="126"/>
      <c r="BR59" s="126"/>
      <c r="BS59" s="126"/>
      <c r="BT59" s="126"/>
      <c r="BU59" s="126"/>
      <c r="BV59" s="126"/>
      <c r="BW59" s="126"/>
      <c r="BX59" s="126"/>
      <c r="BY59" s="126"/>
      <c r="BZ59" s="126"/>
      <c r="CA59" s="126"/>
      <c r="CB59" s="126"/>
      <c r="CC59" s="126"/>
      <c r="CD59" s="126"/>
      <c r="CE59" s="126"/>
      <c r="CF59" s="126"/>
      <c r="CG59" s="126"/>
      <c r="CH59" s="126"/>
      <c r="CI59" s="126"/>
      <c r="CJ59" s="126"/>
      <c r="CK59" s="126"/>
    </row>
    <row r="60" spans="1:89" ht="9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6"/>
      <c r="BT60" s="126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126"/>
      <c r="CG60" s="126"/>
      <c r="CH60" s="126"/>
      <c r="CI60" s="126"/>
      <c r="CJ60" s="126"/>
      <c r="CK60" s="126"/>
    </row>
    <row r="61" spans="1:89" ht="9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/>
      <c r="CE61" s="126"/>
      <c r="CF61" s="126"/>
      <c r="CG61" s="126"/>
      <c r="CH61" s="126"/>
      <c r="CI61" s="126"/>
      <c r="CJ61" s="126"/>
      <c r="CK61" s="126"/>
    </row>
    <row r="62" spans="1:89" ht="9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/>
      <c r="CG62" s="126"/>
      <c r="CH62" s="126"/>
      <c r="CI62" s="126"/>
      <c r="CJ62" s="126"/>
      <c r="CK62" s="126"/>
    </row>
    <row r="63" spans="1:89" ht="9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126"/>
      <c r="CE63" s="126"/>
      <c r="CF63" s="126"/>
      <c r="CG63" s="126"/>
      <c r="CH63" s="126"/>
      <c r="CI63" s="126"/>
      <c r="CJ63" s="126"/>
      <c r="CK63" s="126"/>
    </row>
    <row r="64" spans="1:89" ht="9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6"/>
      <c r="CG64" s="126"/>
      <c r="CH64" s="126"/>
      <c r="CI64" s="126"/>
      <c r="CJ64" s="126"/>
      <c r="CK64" s="126"/>
    </row>
    <row r="65" spans="1:89" ht="9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/>
      <c r="CG65" s="126"/>
      <c r="CH65" s="126"/>
      <c r="CI65" s="126"/>
      <c r="CJ65" s="126"/>
      <c r="CK65" s="126"/>
    </row>
    <row r="66" spans="1:89" ht="9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6"/>
      <c r="CG66" s="126"/>
      <c r="CH66" s="126"/>
      <c r="CI66" s="126"/>
      <c r="CJ66" s="126"/>
      <c r="CK66" s="126"/>
    </row>
    <row r="67" spans="1:89" ht="9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6"/>
      <c r="CG67" s="126"/>
      <c r="CH67" s="126"/>
      <c r="CI67" s="126"/>
      <c r="CJ67" s="126"/>
      <c r="CK67" s="126"/>
    </row>
    <row r="68" spans="1:89" ht="9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</row>
    <row r="69" spans="1:89" ht="9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  <c r="CE69" s="126"/>
      <c r="CF69" s="126"/>
      <c r="CG69" s="126"/>
      <c r="CH69" s="126"/>
      <c r="CI69" s="126"/>
      <c r="CJ69" s="126"/>
      <c r="CK69" s="126"/>
    </row>
    <row r="70" spans="1:89" ht="9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/>
      <c r="CG70" s="126"/>
      <c r="CH70" s="126"/>
      <c r="CI70" s="126"/>
      <c r="CJ70" s="126"/>
      <c r="CK70" s="126"/>
    </row>
    <row r="71" spans="1:89" ht="9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6"/>
      <c r="CG71" s="126"/>
      <c r="CH71" s="126"/>
      <c r="CI71" s="126"/>
      <c r="CJ71" s="126"/>
      <c r="CK71" s="126"/>
    </row>
    <row r="72" spans="1:89" ht="9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/>
      <c r="CG72" s="126"/>
      <c r="CH72" s="126"/>
      <c r="CI72" s="126"/>
      <c r="CJ72" s="126"/>
      <c r="CK72" s="126"/>
    </row>
    <row r="73" spans="1:89" ht="9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  <c r="CE73" s="126"/>
      <c r="CF73" s="126"/>
      <c r="CG73" s="126"/>
      <c r="CH73" s="126"/>
      <c r="CI73" s="126"/>
      <c r="CJ73" s="126"/>
      <c r="CK73" s="126"/>
    </row>
    <row r="74" spans="1:89" ht="9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6"/>
      <c r="CG74" s="126"/>
      <c r="CH74" s="126"/>
      <c r="CI74" s="126"/>
      <c r="CJ74" s="126"/>
      <c r="CK74" s="126"/>
    </row>
    <row r="75" spans="1:89" ht="9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/>
      <c r="CG75" s="126"/>
      <c r="CH75" s="126"/>
      <c r="CI75" s="126"/>
      <c r="CJ75" s="126"/>
      <c r="CK75" s="126"/>
    </row>
    <row r="76" spans="1:89" ht="9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  <c r="BL76" s="126"/>
      <c r="BM76" s="126"/>
      <c r="BN76" s="126"/>
      <c r="BO76" s="126"/>
      <c r="BP76" s="126"/>
      <c r="BQ76" s="126"/>
      <c r="BR76" s="126"/>
      <c r="BS76" s="126"/>
      <c r="BT76" s="126"/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  <c r="CE76" s="126"/>
      <c r="CF76" s="126"/>
      <c r="CG76" s="126"/>
      <c r="CH76" s="126"/>
      <c r="CI76" s="126"/>
      <c r="CJ76" s="126"/>
      <c r="CK76" s="126"/>
    </row>
    <row r="77" spans="1:89" ht="9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  <c r="CE77" s="126"/>
      <c r="CF77" s="126"/>
      <c r="CG77" s="126"/>
      <c r="CH77" s="126"/>
      <c r="CI77" s="126"/>
      <c r="CJ77" s="126"/>
      <c r="CK77" s="126"/>
    </row>
    <row r="78" spans="1:89" ht="9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6"/>
      <c r="CG78" s="126"/>
      <c r="CH78" s="126"/>
      <c r="CI78" s="126"/>
      <c r="CJ78" s="126"/>
      <c r="CK78" s="126"/>
    </row>
    <row r="79" spans="1:89" ht="9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6"/>
      <c r="CG79" s="126"/>
      <c r="CH79" s="126"/>
      <c r="CI79" s="126"/>
      <c r="CJ79" s="126"/>
      <c r="CK79" s="126"/>
    </row>
    <row r="80" spans="1:89" ht="9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</row>
    <row r="81" spans="1:89" ht="9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6"/>
      <c r="CG81" s="126"/>
      <c r="CH81" s="126"/>
      <c r="CI81" s="126"/>
      <c r="CJ81" s="126"/>
      <c r="CK81" s="126"/>
    </row>
    <row r="82" spans="1:89" ht="9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</row>
    <row r="83" spans="1:89" ht="9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/>
      <c r="CG83" s="126"/>
      <c r="CH83" s="126"/>
      <c r="CI83" s="126"/>
      <c r="CJ83" s="126"/>
      <c r="CK83" s="126"/>
    </row>
    <row r="84" spans="1:89" ht="9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</row>
    <row r="85" spans="1:89" ht="9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6"/>
      <c r="CI85" s="126"/>
      <c r="CJ85" s="126"/>
      <c r="CK85" s="126"/>
    </row>
    <row r="86" spans="1:89" ht="9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</row>
    <row r="87" spans="1:89" ht="9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</row>
    <row r="88" spans="1:89" ht="9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</row>
    <row r="89" spans="1:89" ht="9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26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  <c r="CE89" s="126"/>
      <c r="CF89" s="126"/>
      <c r="CG89" s="126"/>
      <c r="CH89" s="126"/>
      <c r="CI89" s="126"/>
      <c r="CJ89" s="126"/>
      <c r="CK89" s="126"/>
    </row>
    <row r="90" spans="1:89" ht="9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126"/>
      <c r="BR90" s="126"/>
      <c r="BS90" s="126"/>
      <c r="BT90" s="126"/>
      <c r="BU90" s="126"/>
      <c r="BV90" s="126"/>
      <c r="BW90" s="126"/>
      <c r="BX90" s="126"/>
      <c r="BY90" s="126"/>
      <c r="BZ90" s="126"/>
      <c r="CA90" s="126"/>
      <c r="CB90" s="126"/>
      <c r="CC90" s="126"/>
      <c r="CD90" s="126"/>
      <c r="CE90" s="126"/>
      <c r="CF90" s="126"/>
      <c r="CG90" s="126"/>
      <c r="CH90" s="126"/>
      <c r="CI90" s="126"/>
      <c r="CJ90" s="126"/>
      <c r="CK90" s="126"/>
    </row>
    <row r="91" spans="1:89" ht="9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126"/>
      <c r="CG91" s="126"/>
      <c r="CH91" s="126"/>
      <c r="CI91" s="126"/>
      <c r="CJ91" s="126"/>
      <c r="CK91" s="126"/>
    </row>
    <row r="92" spans="1:89" ht="9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  <c r="CE92" s="126"/>
      <c r="CF92" s="126"/>
      <c r="CG92" s="126"/>
      <c r="CH92" s="126"/>
      <c r="CI92" s="126"/>
      <c r="CJ92" s="126"/>
      <c r="CK92" s="126"/>
    </row>
    <row r="93" spans="1:89" ht="9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  <c r="CE93" s="126"/>
      <c r="CF93" s="126"/>
      <c r="CG93" s="126"/>
      <c r="CH93" s="126"/>
      <c r="CI93" s="126"/>
      <c r="CJ93" s="126"/>
      <c r="CK93" s="126"/>
    </row>
    <row r="94" spans="1:89" ht="9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  <c r="CE94" s="126"/>
      <c r="CF94" s="126"/>
      <c r="CG94" s="126"/>
      <c r="CH94" s="126"/>
      <c r="CI94" s="126"/>
      <c r="CJ94" s="126"/>
      <c r="CK94" s="126"/>
    </row>
    <row r="95" spans="1:89" ht="9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6"/>
      <c r="CF95" s="126"/>
      <c r="CG95" s="126"/>
      <c r="CH95" s="126"/>
      <c r="CI95" s="126"/>
      <c r="CJ95" s="126"/>
      <c r="CK95" s="126"/>
    </row>
    <row r="96" spans="1:89" ht="9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6"/>
      <c r="CF96" s="126"/>
      <c r="CG96" s="126"/>
      <c r="CH96" s="126"/>
      <c r="CI96" s="126"/>
      <c r="CJ96" s="126"/>
      <c r="CK96" s="126"/>
    </row>
    <row r="97" spans="1:89" ht="9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6"/>
      <c r="CF97" s="126"/>
      <c r="CG97" s="126"/>
      <c r="CH97" s="126"/>
      <c r="CI97" s="126"/>
      <c r="CJ97" s="126"/>
      <c r="CK97" s="126"/>
    </row>
    <row r="98" spans="1:89" ht="9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</row>
    <row r="99" spans="1:89" ht="9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126"/>
      <c r="CG99" s="126"/>
      <c r="CH99" s="126"/>
      <c r="CI99" s="126"/>
      <c r="CJ99" s="126"/>
      <c r="CK99" s="126"/>
    </row>
    <row r="100" spans="1:89" ht="9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126"/>
      <c r="CG100" s="126"/>
      <c r="CH100" s="126"/>
      <c r="CI100" s="126"/>
      <c r="CJ100" s="126"/>
      <c r="CK100" s="126"/>
    </row>
    <row r="101" spans="1:89" ht="9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  <c r="CE101" s="126"/>
      <c r="CF101" s="126"/>
      <c r="CG101" s="126"/>
      <c r="CH101" s="126"/>
      <c r="CI101" s="126"/>
      <c r="CJ101" s="126"/>
      <c r="CK101" s="126"/>
    </row>
    <row r="102" spans="1:89" ht="9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  <c r="CE102" s="126"/>
      <c r="CF102" s="126"/>
      <c r="CG102" s="126"/>
      <c r="CH102" s="126"/>
      <c r="CI102" s="126"/>
      <c r="CJ102" s="126"/>
      <c r="CK102" s="126"/>
    </row>
    <row r="103" spans="1:89" ht="9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126"/>
      <c r="CG103" s="126"/>
      <c r="CH103" s="126"/>
      <c r="CI103" s="126"/>
      <c r="CJ103" s="126"/>
      <c r="CK103" s="126"/>
    </row>
    <row r="104" spans="1:89" ht="9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  <c r="BL104" s="126"/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6"/>
      <c r="CF104" s="126"/>
      <c r="CG104" s="126"/>
      <c r="CH104" s="126"/>
      <c r="CI104" s="126"/>
      <c r="CJ104" s="126"/>
      <c r="CK104" s="126"/>
    </row>
    <row r="105" spans="1:89" ht="9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</row>
    <row r="106" spans="1:89" ht="9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6"/>
      <c r="CF106" s="126"/>
      <c r="CG106" s="126"/>
      <c r="CH106" s="126"/>
      <c r="CI106" s="126"/>
      <c r="CJ106" s="126"/>
      <c r="CK106" s="126"/>
    </row>
    <row r="107" spans="1:89" ht="9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126"/>
      <c r="CG107" s="126"/>
      <c r="CH107" s="126"/>
      <c r="CI107" s="126"/>
      <c r="CJ107" s="126"/>
      <c r="CK107" s="126"/>
    </row>
    <row r="108" spans="1:89" ht="9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6"/>
      <c r="CF108" s="126"/>
      <c r="CG108" s="126"/>
      <c r="CH108" s="126"/>
      <c r="CI108" s="126"/>
      <c r="CJ108" s="126"/>
      <c r="CK108" s="126"/>
    </row>
    <row r="109" spans="1:89" ht="9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</row>
    <row r="110" spans="1:89" ht="9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6"/>
      <c r="CF110" s="126"/>
      <c r="CG110" s="126"/>
      <c r="CH110" s="126"/>
      <c r="CI110" s="126"/>
      <c r="CJ110" s="126"/>
      <c r="CK110" s="126"/>
    </row>
    <row r="111" spans="1:89" ht="9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  <c r="CJ111" s="126"/>
      <c r="CK111" s="126"/>
    </row>
    <row r="112" spans="1:89" ht="9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</row>
    <row r="113" spans="1:89" ht="9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  <c r="CJ113" s="126"/>
      <c r="CK113" s="126"/>
    </row>
    <row r="114" spans="1:89" ht="9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  <c r="CJ114" s="126"/>
      <c r="CK114" s="126"/>
    </row>
    <row r="115" spans="1:89" ht="9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  <c r="CJ115" s="126"/>
      <c r="CK115" s="126"/>
    </row>
    <row r="116" spans="1:89" ht="9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</row>
    <row r="117" spans="1:89" ht="9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  <c r="CJ117" s="126"/>
      <c r="CK117" s="126"/>
    </row>
    <row r="118" spans="1:89" ht="9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  <c r="CJ118" s="126"/>
      <c r="CK118" s="126"/>
    </row>
    <row r="119" spans="1:89" ht="9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  <c r="CJ119" s="126"/>
      <c r="CK119" s="126"/>
    </row>
    <row r="120" spans="1:89" ht="9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  <c r="CJ120" s="126"/>
      <c r="CK120" s="126"/>
    </row>
    <row r="121" spans="1:89" ht="9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  <c r="CJ121" s="126"/>
      <c r="CK121" s="126"/>
    </row>
    <row r="122" spans="1:89" ht="9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  <c r="CJ122" s="126"/>
      <c r="CK122" s="126"/>
    </row>
    <row r="123" spans="1:89" ht="9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</row>
    <row r="124" spans="1:89" ht="9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  <c r="CJ124" s="126"/>
      <c r="CK124" s="126"/>
    </row>
    <row r="125" spans="1:89" ht="9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  <c r="CJ125" s="126"/>
      <c r="CK125" s="126"/>
    </row>
    <row r="126" spans="1:89" ht="9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  <c r="CJ126" s="126"/>
      <c r="CK126" s="126"/>
    </row>
    <row r="127" spans="1:89" ht="9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  <c r="CJ127" s="126"/>
      <c r="CK127" s="126"/>
    </row>
    <row r="128" spans="1:89" ht="9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  <c r="CJ128" s="126"/>
      <c r="CK128" s="126"/>
    </row>
    <row r="129" spans="1:89" ht="9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</row>
    <row r="130" spans="1:89" ht="9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  <c r="CJ130" s="126"/>
      <c r="CK130" s="126"/>
    </row>
    <row r="131" spans="1:89" ht="9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</row>
    <row r="132" spans="1:89" ht="9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  <c r="CJ132" s="126"/>
      <c r="CK132" s="126"/>
    </row>
    <row r="133" spans="1:89" ht="9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</row>
    <row r="134" spans="1:89" ht="9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  <c r="CJ134" s="126"/>
      <c r="CK134" s="126"/>
    </row>
    <row r="135" spans="1:89" ht="9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  <c r="CJ135" s="126"/>
      <c r="CK135" s="126"/>
    </row>
    <row r="136" spans="1:89" ht="9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  <c r="CJ136" s="126"/>
      <c r="CK136" s="126"/>
    </row>
    <row r="137" spans="1:89" ht="9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6"/>
      <c r="CF137" s="126"/>
      <c r="CG137" s="126"/>
      <c r="CH137" s="126"/>
      <c r="CI137" s="126"/>
      <c r="CJ137" s="126"/>
      <c r="CK137" s="126"/>
    </row>
    <row r="138" spans="1:89" ht="9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6"/>
      <c r="CF138" s="126"/>
      <c r="CG138" s="126"/>
      <c r="CH138" s="126"/>
      <c r="CI138" s="126"/>
      <c r="CJ138" s="126"/>
      <c r="CK138" s="126"/>
    </row>
    <row r="139" spans="1:89" ht="9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  <c r="BP139" s="126"/>
      <c r="BQ139" s="126"/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126"/>
      <c r="CG139" s="126"/>
      <c r="CH139" s="126"/>
      <c r="CI139" s="126"/>
      <c r="CJ139" s="126"/>
      <c r="CK139" s="126"/>
    </row>
    <row r="140" spans="1:89" ht="9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6"/>
      <c r="BN140" s="126"/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126"/>
      <c r="CG140" s="126"/>
      <c r="CH140" s="126"/>
      <c r="CI140" s="126"/>
      <c r="CJ140" s="126"/>
      <c r="CK140" s="126"/>
    </row>
    <row r="141" spans="1:89" ht="9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6"/>
      <c r="CI141" s="126"/>
      <c r="CJ141" s="126"/>
      <c r="CK141" s="126"/>
    </row>
    <row r="142" spans="1:89" ht="9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  <c r="CE142" s="126"/>
      <c r="CF142" s="126"/>
      <c r="CG142" s="126"/>
      <c r="CH142" s="126"/>
      <c r="CI142" s="126"/>
      <c r="CJ142" s="126"/>
      <c r="CK142" s="126"/>
    </row>
    <row r="143" spans="1:89" ht="9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6"/>
      <c r="CI143" s="126"/>
      <c r="CJ143" s="126"/>
      <c r="CK143" s="126"/>
    </row>
    <row r="144" spans="1:89" ht="9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126"/>
      <c r="CG144" s="126"/>
      <c r="CH144" s="126"/>
      <c r="CI144" s="126"/>
      <c r="CJ144" s="126"/>
      <c r="CK144" s="126"/>
    </row>
    <row r="145" spans="1:89" ht="9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  <c r="CE145" s="126"/>
      <c r="CF145" s="126"/>
      <c r="CG145" s="126"/>
      <c r="CH145" s="126"/>
      <c r="CI145" s="126"/>
      <c r="CJ145" s="126"/>
      <c r="CK145" s="126"/>
    </row>
    <row r="146" spans="1:89" ht="9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  <c r="CE146" s="126"/>
      <c r="CF146" s="126"/>
      <c r="CG146" s="126"/>
      <c r="CH146" s="126"/>
      <c r="CI146" s="126"/>
      <c r="CJ146" s="126"/>
      <c r="CK146" s="126"/>
    </row>
    <row r="147" spans="1:89" ht="9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  <c r="CE147" s="126"/>
      <c r="CF147" s="126"/>
      <c r="CG147" s="126"/>
      <c r="CH147" s="126"/>
      <c r="CI147" s="126"/>
      <c r="CJ147" s="126"/>
      <c r="CK147" s="126"/>
    </row>
    <row r="148" spans="1:89" ht="9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126"/>
      <c r="CG148" s="126"/>
      <c r="CH148" s="126"/>
      <c r="CI148" s="126"/>
      <c r="CJ148" s="126"/>
      <c r="CK148" s="126"/>
    </row>
    <row r="149" spans="1:89" ht="9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</row>
    <row r="150" spans="1:89" ht="9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  <c r="CE150" s="126"/>
      <c r="CF150" s="126"/>
      <c r="CG150" s="126"/>
      <c r="CH150" s="126"/>
      <c r="CI150" s="126"/>
      <c r="CJ150" s="126"/>
      <c r="CK150" s="126"/>
    </row>
    <row r="151" spans="1:89" ht="9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6"/>
      <c r="CK151" s="126"/>
    </row>
    <row r="152" spans="1:89" ht="9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  <c r="BL152" s="126"/>
      <c r="BM152" s="126"/>
      <c r="BN152" s="126"/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126"/>
      <c r="CG152" s="126"/>
      <c r="CH152" s="126"/>
      <c r="CI152" s="126"/>
      <c r="CJ152" s="126"/>
      <c r="CK152" s="126"/>
    </row>
    <row r="153" spans="1:89" ht="9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6"/>
      <c r="CG153" s="126"/>
      <c r="CH153" s="126"/>
      <c r="CI153" s="126"/>
      <c r="CJ153" s="126"/>
      <c r="CK153" s="126"/>
    </row>
    <row r="154" spans="1:89" ht="9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6"/>
      <c r="CG154" s="126"/>
      <c r="CH154" s="126"/>
      <c r="CI154" s="126"/>
      <c r="CJ154" s="126"/>
      <c r="CK154" s="126"/>
    </row>
    <row r="155" spans="1:89" ht="9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</row>
    <row r="156" spans="1:89" ht="9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6"/>
      <c r="CG156" s="126"/>
      <c r="CH156" s="126"/>
      <c r="CI156" s="126"/>
      <c r="CJ156" s="126"/>
      <c r="CK156" s="126"/>
    </row>
    <row r="157" spans="1:89" ht="9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</row>
    <row r="158" spans="1:89" ht="9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  <c r="CE158" s="126"/>
      <c r="CF158" s="126"/>
      <c r="CG158" s="126"/>
      <c r="CH158" s="126"/>
      <c r="CI158" s="126"/>
      <c r="CJ158" s="126"/>
      <c r="CK158" s="126"/>
    </row>
    <row r="159" spans="1:89" ht="9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</row>
    <row r="160" spans="1:89" ht="9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126"/>
      <c r="CG160" s="126"/>
      <c r="CH160" s="126"/>
      <c r="CI160" s="126"/>
      <c r="CJ160" s="126"/>
      <c r="CK160" s="126"/>
    </row>
    <row r="161" spans="1:89" ht="9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6"/>
      <c r="CG161" s="126"/>
      <c r="CH161" s="126"/>
      <c r="CI161" s="126"/>
      <c r="CJ161" s="126"/>
      <c r="CK161" s="126"/>
    </row>
    <row r="162" spans="1:89" ht="9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  <c r="CE162" s="126"/>
      <c r="CF162" s="126"/>
      <c r="CG162" s="126"/>
      <c r="CH162" s="126"/>
      <c r="CI162" s="126"/>
      <c r="CJ162" s="126"/>
      <c r="CK162" s="126"/>
    </row>
    <row r="163" spans="1:89" ht="9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126"/>
      <c r="CG163" s="126"/>
      <c r="CH163" s="126"/>
      <c r="CI163" s="126"/>
      <c r="CJ163" s="126"/>
      <c r="CK163" s="126"/>
    </row>
    <row r="164" spans="1:89" ht="9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126"/>
      <c r="CG164" s="126"/>
      <c r="CH164" s="126"/>
      <c r="CI164" s="126"/>
      <c r="CJ164" s="126"/>
      <c r="CK164" s="126"/>
    </row>
    <row r="165" spans="1:89" ht="9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126"/>
      <c r="CC165" s="126"/>
      <c r="CD165" s="126"/>
      <c r="CE165" s="126"/>
      <c r="CF165" s="126"/>
      <c r="CG165" s="126"/>
      <c r="CH165" s="126"/>
      <c r="CI165" s="126"/>
      <c r="CJ165" s="126"/>
      <c r="CK165" s="126"/>
    </row>
    <row r="166" spans="1:89" ht="9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126"/>
      <c r="CC166" s="126"/>
      <c r="CD166" s="126"/>
      <c r="CE166" s="126"/>
      <c r="CF166" s="126"/>
      <c r="CG166" s="126"/>
      <c r="CH166" s="126"/>
      <c r="CI166" s="126"/>
      <c r="CJ166" s="126"/>
      <c r="CK166" s="126"/>
    </row>
    <row r="167" spans="1:89" ht="9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26"/>
      <c r="CE167" s="126"/>
      <c r="CF167" s="126"/>
      <c r="CG167" s="126"/>
      <c r="CH167" s="126"/>
      <c r="CI167" s="126"/>
      <c r="CJ167" s="126"/>
      <c r="CK167" s="126"/>
    </row>
    <row r="168" spans="1:89" ht="9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  <c r="BK168" s="126"/>
      <c r="BL168" s="126"/>
      <c r="BM168" s="126"/>
      <c r="BN168" s="126"/>
      <c r="BO168" s="126"/>
      <c r="BP168" s="126"/>
      <c r="BQ168" s="126"/>
      <c r="BR168" s="126"/>
      <c r="BS168" s="126"/>
      <c r="BT168" s="126"/>
      <c r="BU168" s="126"/>
      <c r="BV168" s="126"/>
      <c r="BW168" s="126"/>
      <c r="BX168" s="126"/>
      <c r="BY168" s="126"/>
      <c r="BZ168" s="126"/>
      <c r="CA168" s="126"/>
      <c r="CB168" s="126"/>
      <c r="CC168" s="126"/>
      <c r="CD168" s="126"/>
      <c r="CE168" s="126"/>
      <c r="CF168" s="126"/>
      <c r="CG168" s="126"/>
      <c r="CH168" s="126"/>
      <c r="CI168" s="126"/>
      <c r="CJ168" s="126"/>
      <c r="CK168" s="126"/>
    </row>
    <row r="169" spans="1:89" ht="9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  <c r="BQ169" s="126"/>
      <c r="BR169" s="126"/>
      <c r="BS169" s="126"/>
      <c r="BT169" s="126"/>
      <c r="BU169" s="126"/>
      <c r="BV169" s="126"/>
      <c r="BW169" s="126"/>
      <c r="BX169" s="126"/>
      <c r="BY169" s="126"/>
      <c r="BZ169" s="126"/>
      <c r="CA169" s="126"/>
      <c r="CB169" s="126"/>
      <c r="CC169" s="126"/>
      <c r="CD169" s="126"/>
      <c r="CE169" s="126"/>
      <c r="CF169" s="126"/>
      <c r="CG169" s="126"/>
      <c r="CH169" s="126"/>
      <c r="CI169" s="126"/>
      <c r="CJ169" s="126"/>
      <c r="CK169" s="126"/>
    </row>
    <row r="170" spans="1:89" ht="9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  <c r="BK170" s="126"/>
      <c r="BL170" s="126"/>
      <c r="BM170" s="126"/>
      <c r="BN170" s="126"/>
      <c r="BO170" s="126"/>
      <c r="BP170" s="126"/>
      <c r="BQ170" s="126"/>
      <c r="BR170" s="126"/>
      <c r="BS170" s="126"/>
      <c r="BT170" s="126"/>
      <c r="BU170" s="126"/>
      <c r="BV170" s="126"/>
      <c r="BW170" s="126"/>
      <c r="BX170" s="126"/>
      <c r="BY170" s="126"/>
      <c r="BZ170" s="126"/>
      <c r="CA170" s="126"/>
      <c r="CB170" s="126"/>
      <c r="CC170" s="126"/>
      <c r="CD170" s="126"/>
      <c r="CE170" s="126"/>
      <c r="CF170" s="126"/>
      <c r="CG170" s="126"/>
      <c r="CH170" s="126"/>
      <c r="CI170" s="126"/>
      <c r="CJ170" s="126"/>
      <c r="CK170" s="126"/>
    </row>
    <row r="171" spans="1:89" ht="9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</row>
    <row r="172" spans="1:89" ht="9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  <c r="BK172" s="126"/>
      <c r="BL172" s="126"/>
      <c r="BM172" s="126"/>
      <c r="BN172" s="126"/>
      <c r="BO172" s="126"/>
      <c r="BP172" s="126"/>
      <c r="BQ172" s="126"/>
      <c r="BR172" s="126"/>
      <c r="BS172" s="126"/>
      <c r="BT172" s="126"/>
      <c r="BU172" s="126"/>
      <c r="BV172" s="126"/>
      <c r="BW172" s="126"/>
      <c r="BX172" s="126"/>
      <c r="BY172" s="126"/>
      <c r="BZ172" s="126"/>
      <c r="CA172" s="126"/>
      <c r="CB172" s="126"/>
      <c r="CC172" s="126"/>
      <c r="CD172" s="126"/>
      <c r="CE172" s="126"/>
      <c r="CF172" s="126"/>
      <c r="CG172" s="126"/>
      <c r="CH172" s="126"/>
      <c r="CI172" s="126"/>
      <c r="CJ172" s="126"/>
      <c r="CK172" s="126"/>
    </row>
    <row r="173" spans="1:89" ht="9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  <c r="BL173" s="126"/>
      <c r="BM173" s="126"/>
      <c r="BN173" s="126"/>
      <c r="BO173" s="126"/>
      <c r="BP173" s="126"/>
      <c r="BQ173" s="126"/>
      <c r="BR173" s="126"/>
      <c r="BS173" s="126"/>
      <c r="BT173" s="126"/>
      <c r="BU173" s="126"/>
      <c r="BV173" s="126"/>
      <c r="BW173" s="126"/>
      <c r="BX173" s="126"/>
      <c r="BY173" s="126"/>
      <c r="BZ173" s="126"/>
      <c r="CA173" s="126"/>
      <c r="CB173" s="126"/>
      <c r="CC173" s="126"/>
      <c r="CD173" s="126"/>
      <c r="CE173" s="126"/>
      <c r="CF173" s="126"/>
      <c r="CG173" s="126"/>
      <c r="CH173" s="126"/>
      <c r="CI173" s="126"/>
      <c r="CJ173" s="126"/>
      <c r="CK173" s="126"/>
    </row>
    <row r="174" spans="1:89" ht="9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  <c r="BF174" s="126"/>
      <c r="BG174" s="126"/>
      <c r="BH174" s="126"/>
      <c r="BI174" s="126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  <c r="CC174" s="126"/>
      <c r="CD174" s="126"/>
      <c r="CE174" s="126"/>
      <c r="CF174" s="126"/>
      <c r="CG174" s="126"/>
      <c r="CH174" s="126"/>
      <c r="CI174" s="126"/>
      <c r="CJ174" s="126"/>
      <c r="CK174" s="126"/>
    </row>
    <row r="175" spans="1:89" ht="9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  <c r="BK175" s="126"/>
      <c r="BL175" s="126"/>
      <c r="BM175" s="126"/>
      <c r="BN175" s="126"/>
      <c r="BO175" s="126"/>
      <c r="BP175" s="126"/>
      <c r="BQ175" s="126"/>
      <c r="BR175" s="126"/>
      <c r="BS175" s="126"/>
      <c r="BT175" s="126"/>
      <c r="BU175" s="126"/>
      <c r="BV175" s="126"/>
      <c r="BW175" s="126"/>
      <c r="BX175" s="126"/>
      <c r="BY175" s="126"/>
      <c r="BZ175" s="126"/>
      <c r="CA175" s="126"/>
      <c r="CB175" s="126"/>
      <c r="CC175" s="126"/>
      <c r="CD175" s="126"/>
      <c r="CE175" s="126"/>
      <c r="CF175" s="126"/>
      <c r="CG175" s="126"/>
      <c r="CH175" s="126"/>
      <c r="CI175" s="126"/>
      <c r="CJ175" s="126"/>
      <c r="CK175" s="126"/>
    </row>
    <row r="176" spans="1:89" ht="9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  <c r="BF176" s="126"/>
      <c r="BG176" s="126"/>
      <c r="BH176" s="126"/>
      <c r="BI176" s="126"/>
      <c r="BJ176" s="126"/>
      <c r="BK176" s="126"/>
      <c r="BL176" s="126"/>
      <c r="BM176" s="126"/>
      <c r="BN176" s="126"/>
      <c r="BO176" s="126"/>
      <c r="BP176" s="126"/>
      <c r="BQ176" s="126"/>
      <c r="BR176" s="126"/>
      <c r="BS176" s="126"/>
      <c r="BT176" s="126"/>
      <c r="BU176" s="126"/>
      <c r="BV176" s="126"/>
      <c r="BW176" s="126"/>
      <c r="BX176" s="126"/>
      <c r="BY176" s="126"/>
      <c r="BZ176" s="126"/>
      <c r="CA176" s="126"/>
      <c r="CB176" s="126"/>
      <c r="CC176" s="126"/>
      <c r="CD176" s="126"/>
      <c r="CE176" s="126"/>
      <c r="CF176" s="126"/>
      <c r="CG176" s="126"/>
      <c r="CH176" s="126"/>
      <c r="CI176" s="126"/>
      <c r="CJ176" s="126"/>
      <c r="CK176" s="126"/>
    </row>
    <row r="177" spans="1:89" ht="9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  <c r="BK177" s="126"/>
      <c r="BL177" s="126"/>
      <c r="BM177" s="126"/>
      <c r="BN177" s="126"/>
      <c r="BO177" s="126"/>
      <c r="BP177" s="126"/>
      <c r="BQ177" s="126"/>
      <c r="BR177" s="126"/>
      <c r="BS177" s="126"/>
      <c r="BT177" s="126"/>
      <c r="BU177" s="126"/>
      <c r="BV177" s="126"/>
      <c r="BW177" s="126"/>
      <c r="BX177" s="126"/>
      <c r="BY177" s="126"/>
      <c r="BZ177" s="126"/>
      <c r="CA177" s="126"/>
      <c r="CB177" s="126"/>
      <c r="CC177" s="126"/>
      <c r="CD177" s="126"/>
      <c r="CE177" s="126"/>
      <c r="CF177" s="126"/>
      <c r="CG177" s="126"/>
      <c r="CH177" s="126"/>
      <c r="CI177" s="126"/>
      <c r="CJ177" s="126"/>
      <c r="CK177" s="126"/>
    </row>
    <row r="178" spans="1:89" ht="9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26"/>
      <c r="BV178" s="126"/>
      <c r="BW178" s="126"/>
      <c r="BX178" s="126"/>
      <c r="BY178" s="126"/>
      <c r="BZ178" s="126"/>
      <c r="CA178" s="126"/>
      <c r="CB178" s="126"/>
      <c r="CC178" s="126"/>
      <c r="CD178" s="126"/>
      <c r="CE178" s="126"/>
      <c r="CF178" s="126"/>
      <c r="CG178" s="126"/>
      <c r="CH178" s="126"/>
      <c r="CI178" s="126"/>
      <c r="CJ178" s="126"/>
      <c r="CK178" s="126"/>
    </row>
    <row r="179" spans="1:89" ht="9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  <c r="BK179" s="126"/>
      <c r="BL179" s="126"/>
      <c r="BM179" s="126"/>
      <c r="BN179" s="126"/>
      <c r="BO179" s="126"/>
      <c r="BP179" s="126"/>
      <c r="BQ179" s="126"/>
      <c r="BR179" s="126"/>
      <c r="BS179" s="126"/>
      <c r="BT179" s="126"/>
      <c r="BU179" s="126"/>
      <c r="BV179" s="126"/>
      <c r="BW179" s="126"/>
      <c r="BX179" s="126"/>
      <c r="BY179" s="126"/>
      <c r="BZ179" s="126"/>
      <c r="CA179" s="126"/>
      <c r="CB179" s="126"/>
      <c r="CC179" s="126"/>
      <c r="CD179" s="126"/>
      <c r="CE179" s="126"/>
      <c r="CF179" s="126"/>
      <c r="CG179" s="126"/>
      <c r="CH179" s="126"/>
      <c r="CI179" s="126"/>
      <c r="CJ179" s="126"/>
      <c r="CK179" s="126"/>
    </row>
    <row r="180" spans="1:89" ht="9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  <c r="BJ180" s="126"/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26"/>
      <c r="BV180" s="126"/>
      <c r="BW180" s="126"/>
      <c r="BX180" s="126"/>
      <c r="BY180" s="126"/>
      <c r="BZ180" s="126"/>
      <c r="CA180" s="126"/>
      <c r="CB180" s="126"/>
      <c r="CC180" s="126"/>
      <c r="CD180" s="126"/>
      <c r="CE180" s="126"/>
      <c r="CF180" s="126"/>
      <c r="CG180" s="126"/>
      <c r="CH180" s="126"/>
      <c r="CI180" s="126"/>
      <c r="CJ180" s="126"/>
      <c r="CK180" s="126"/>
    </row>
    <row r="181" spans="1:89" ht="9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26"/>
      <c r="BV181" s="126"/>
      <c r="BW181" s="126"/>
      <c r="BX181" s="126"/>
      <c r="BY181" s="126"/>
      <c r="BZ181" s="126"/>
      <c r="CA181" s="126"/>
      <c r="CB181" s="126"/>
      <c r="CC181" s="126"/>
      <c r="CD181" s="126"/>
      <c r="CE181" s="126"/>
      <c r="CF181" s="126"/>
      <c r="CG181" s="126"/>
      <c r="CH181" s="126"/>
      <c r="CI181" s="126"/>
      <c r="CJ181" s="126"/>
      <c r="CK181" s="126"/>
    </row>
    <row r="182" spans="1:89" ht="9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126"/>
      <c r="BV182" s="126"/>
      <c r="BW182" s="126"/>
      <c r="BX182" s="126"/>
      <c r="BY182" s="126"/>
      <c r="BZ182" s="126"/>
      <c r="CA182" s="126"/>
      <c r="CB182" s="126"/>
      <c r="CC182" s="126"/>
      <c r="CD182" s="126"/>
      <c r="CE182" s="126"/>
      <c r="CF182" s="126"/>
      <c r="CG182" s="126"/>
      <c r="CH182" s="126"/>
      <c r="CI182" s="126"/>
      <c r="CJ182" s="126"/>
      <c r="CK182" s="126"/>
    </row>
    <row r="183" spans="1:89" ht="9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26"/>
      <c r="BV183" s="126"/>
      <c r="BW183" s="126"/>
      <c r="BX183" s="126"/>
      <c r="BY183" s="126"/>
      <c r="BZ183" s="126"/>
      <c r="CA183" s="126"/>
      <c r="CB183" s="126"/>
      <c r="CC183" s="126"/>
      <c r="CD183" s="126"/>
      <c r="CE183" s="126"/>
      <c r="CF183" s="126"/>
      <c r="CG183" s="126"/>
      <c r="CH183" s="126"/>
      <c r="CI183" s="126"/>
      <c r="CJ183" s="126"/>
      <c r="CK183" s="126"/>
    </row>
    <row r="184" spans="1:89" ht="9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26"/>
      <c r="BV184" s="126"/>
      <c r="BW184" s="126"/>
      <c r="BX184" s="126"/>
      <c r="BY184" s="126"/>
      <c r="BZ184" s="126"/>
      <c r="CA184" s="126"/>
      <c r="CB184" s="126"/>
      <c r="CC184" s="126"/>
      <c r="CD184" s="126"/>
      <c r="CE184" s="126"/>
      <c r="CF184" s="126"/>
      <c r="CG184" s="126"/>
      <c r="CH184" s="126"/>
      <c r="CI184" s="126"/>
      <c r="CJ184" s="126"/>
      <c r="CK184" s="126"/>
    </row>
    <row r="185" spans="1:89" ht="9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  <c r="BF185" s="126"/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126"/>
      <c r="BV185" s="126"/>
      <c r="BW185" s="126"/>
      <c r="BX185" s="126"/>
      <c r="BY185" s="126"/>
      <c r="BZ185" s="126"/>
      <c r="CA185" s="126"/>
      <c r="CB185" s="126"/>
      <c r="CC185" s="126"/>
      <c r="CD185" s="126"/>
      <c r="CE185" s="126"/>
      <c r="CF185" s="126"/>
      <c r="CG185" s="126"/>
      <c r="CH185" s="126"/>
      <c r="CI185" s="126"/>
      <c r="CJ185" s="126"/>
      <c r="CK185" s="126"/>
    </row>
    <row r="186" spans="1:89" ht="9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26"/>
      <c r="BV186" s="126"/>
      <c r="BW186" s="126"/>
      <c r="BX186" s="126"/>
      <c r="BY186" s="126"/>
      <c r="BZ186" s="126"/>
      <c r="CA186" s="126"/>
      <c r="CB186" s="126"/>
      <c r="CC186" s="126"/>
      <c r="CD186" s="126"/>
      <c r="CE186" s="126"/>
      <c r="CF186" s="126"/>
      <c r="CG186" s="126"/>
      <c r="CH186" s="126"/>
      <c r="CI186" s="126"/>
      <c r="CJ186" s="126"/>
      <c r="CK186" s="126"/>
    </row>
    <row r="187" spans="1:89" ht="9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  <c r="BF187" s="126"/>
      <c r="BG187" s="126"/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26"/>
      <c r="BU187" s="126"/>
      <c r="BV187" s="126"/>
      <c r="BW187" s="126"/>
      <c r="BX187" s="126"/>
      <c r="BY187" s="126"/>
      <c r="BZ187" s="126"/>
      <c r="CA187" s="126"/>
      <c r="CB187" s="126"/>
      <c r="CC187" s="126"/>
      <c r="CD187" s="126"/>
      <c r="CE187" s="126"/>
      <c r="CF187" s="126"/>
      <c r="CG187" s="126"/>
      <c r="CH187" s="126"/>
      <c r="CI187" s="126"/>
      <c r="CJ187" s="126"/>
      <c r="CK187" s="126"/>
    </row>
    <row r="188" spans="1:89" ht="9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26"/>
      <c r="BV188" s="126"/>
      <c r="BW188" s="126"/>
      <c r="BX188" s="126"/>
      <c r="BY188" s="126"/>
      <c r="BZ188" s="126"/>
      <c r="CA188" s="126"/>
      <c r="CB188" s="126"/>
      <c r="CC188" s="126"/>
      <c r="CD188" s="126"/>
      <c r="CE188" s="126"/>
      <c r="CF188" s="126"/>
      <c r="CG188" s="126"/>
      <c r="CH188" s="126"/>
      <c r="CI188" s="126"/>
      <c r="CJ188" s="126"/>
      <c r="CK188" s="126"/>
    </row>
    <row r="189" spans="1:89" ht="9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26"/>
      <c r="BY189" s="126"/>
      <c r="BZ189" s="126"/>
      <c r="CA189" s="126"/>
      <c r="CB189" s="126"/>
      <c r="CC189" s="126"/>
      <c r="CD189" s="126"/>
      <c r="CE189" s="126"/>
      <c r="CF189" s="126"/>
      <c r="CG189" s="126"/>
      <c r="CH189" s="126"/>
      <c r="CI189" s="126"/>
      <c r="CJ189" s="126"/>
      <c r="CK189" s="126"/>
    </row>
    <row r="190" spans="1:89" ht="9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6"/>
      <c r="CD190" s="126"/>
      <c r="CE190" s="126"/>
      <c r="CF190" s="126"/>
      <c r="CG190" s="126"/>
      <c r="CH190" s="126"/>
      <c r="CI190" s="126"/>
      <c r="CJ190" s="126"/>
      <c r="CK190" s="126"/>
    </row>
    <row r="191" spans="1:89" ht="9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126"/>
      <c r="CG191" s="126"/>
      <c r="CH191" s="126"/>
      <c r="CI191" s="126"/>
      <c r="CJ191" s="126"/>
      <c r="CK191" s="126"/>
    </row>
    <row r="192" spans="1:89" ht="9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26"/>
      <c r="BV192" s="126"/>
      <c r="BW192" s="126"/>
      <c r="BX192" s="126"/>
      <c r="BY192" s="126"/>
      <c r="BZ192" s="126"/>
      <c r="CA192" s="126"/>
      <c r="CB192" s="126"/>
      <c r="CC192" s="126"/>
      <c r="CD192" s="126"/>
      <c r="CE192" s="126"/>
      <c r="CF192" s="126"/>
      <c r="CG192" s="126"/>
      <c r="CH192" s="126"/>
      <c r="CI192" s="126"/>
      <c r="CJ192" s="126"/>
      <c r="CK192" s="126"/>
    </row>
    <row r="193" spans="1:89" ht="9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26"/>
      <c r="BY193" s="126"/>
      <c r="BZ193" s="126"/>
      <c r="CA193" s="126"/>
      <c r="CB193" s="126"/>
      <c r="CC193" s="126"/>
      <c r="CD193" s="126"/>
      <c r="CE193" s="126"/>
      <c r="CF193" s="126"/>
      <c r="CG193" s="126"/>
      <c r="CH193" s="126"/>
      <c r="CI193" s="126"/>
      <c r="CJ193" s="126"/>
      <c r="CK193" s="126"/>
    </row>
    <row r="194" spans="1:89" ht="9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26"/>
      <c r="BY194" s="126"/>
      <c r="BZ194" s="126"/>
      <c r="CA194" s="126"/>
      <c r="CB194" s="126"/>
      <c r="CC194" s="126"/>
      <c r="CD194" s="126"/>
      <c r="CE194" s="126"/>
      <c r="CF194" s="126"/>
      <c r="CG194" s="126"/>
      <c r="CH194" s="126"/>
      <c r="CI194" s="126"/>
      <c r="CJ194" s="126"/>
      <c r="CK194" s="126"/>
    </row>
    <row r="195" spans="1:89" ht="9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26"/>
      <c r="CE195" s="126"/>
      <c r="CF195" s="126"/>
      <c r="CG195" s="126"/>
      <c r="CH195" s="126"/>
      <c r="CI195" s="126"/>
      <c r="CJ195" s="126"/>
      <c r="CK195" s="126"/>
    </row>
    <row r="196" spans="1:89" ht="9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26"/>
      <c r="BY196" s="126"/>
      <c r="BZ196" s="126"/>
      <c r="CA196" s="126"/>
      <c r="CB196" s="126"/>
      <c r="CC196" s="126"/>
      <c r="CD196" s="126"/>
      <c r="CE196" s="126"/>
      <c r="CF196" s="126"/>
      <c r="CG196" s="126"/>
      <c r="CH196" s="126"/>
      <c r="CI196" s="126"/>
      <c r="CJ196" s="126"/>
      <c r="CK196" s="126"/>
    </row>
    <row r="197" spans="1:89" ht="9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26"/>
      <c r="BV197" s="126"/>
      <c r="BW197" s="126"/>
      <c r="BX197" s="126"/>
      <c r="BY197" s="126"/>
      <c r="BZ197" s="126"/>
      <c r="CA197" s="126"/>
      <c r="CB197" s="126"/>
      <c r="CC197" s="126"/>
      <c r="CD197" s="126"/>
      <c r="CE197" s="126"/>
      <c r="CF197" s="126"/>
      <c r="CG197" s="126"/>
      <c r="CH197" s="126"/>
      <c r="CI197" s="126"/>
      <c r="CJ197" s="126"/>
      <c r="CK197" s="126"/>
    </row>
    <row r="198" spans="1:89" ht="9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  <c r="BF198" s="126"/>
      <c r="BG198" s="126"/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26"/>
      <c r="BV198" s="126"/>
      <c r="BW198" s="126"/>
      <c r="BX198" s="126"/>
      <c r="BY198" s="126"/>
      <c r="BZ198" s="126"/>
      <c r="CA198" s="126"/>
      <c r="CB198" s="126"/>
      <c r="CC198" s="126"/>
      <c r="CD198" s="126"/>
      <c r="CE198" s="126"/>
      <c r="CF198" s="126"/>
      <c r="CG198" s="126"/>
      <c r="CH198" s="126"/>
      <c r="CI198" s="126"/>
      <c r="CJ198" s="126"/>
      <c r="CK198" s="126"/>
    </row>
    <row r="199" spans="1:89" ht="9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26"/>
      <c r="BV199" s="126"/>
      <c r="BW199" s="126"/>
      <c r="BX199" s="126"/>
      <c r="BY199" s="126"/>
      <c r="BZ199" s="126"/>
      <c r="CA199" s="126"/>
      <c r="CB199" s="126"/>
      <c r="CC199" s="126"/>
      <c r="CD199" s="126"/>
      <c r="CE199" s="126"/>
      <c r="CF199" s="126"/>
      <c r="CG199" s="126"/>
      <c r="CH199" s="126"/>
      <c r="CI199" s="126"/>
      <c r="CJ199" s="126"/>
      <c r="CK199" s="126"/>
    </row>
    <row r="200" spans="1:89" ht="9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  <c r="BF200" s="126"/>
      <c r="BG200" s="126"/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26"/>
      <c r="BV200" s="126"/>
      <c r="BW200" s="126"/>
      <c r="BX200" s="126"/>
      <c r="BY200" s="126"/>
      <c r="BZ200" s="126"/>
      <c r="CA200" s="126"/>
      <c r="CB200" s="126"/>
      <c r="CC200" s="126"/>
      <c r="CD200" s="126"/>
      <c r="CE200" s="126"/>
      <c r="CF200" s="126"/>
      <c r="CG200" s="126"/>
      <c r="CH200" s="126"/>
      <c r="CI200" s="126"/>
      <c r="CJ200" s="126"/>
      <c r="CK200" s="126"/>
    </row>
    <row r="201" spans="1:89" ht="9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26"/>
      <c r="BV201" s="126"/>
      <c r="BW201" s="126"/>
      <c r="BX201" s="126"/>
      <c r="BY201" s="126"/>
      <c r="BZ201" s="126"/>
      <c r="CA201" s="126"/>
      <c r="CB201" s="126"/>
      <c r="CC201" s="126"/>
      <c r="CD201" s="126"/>
      <c r="CE201" s="126"/>
      <c r="CF201" s="126"/>
      <c r="CG201" s="126"/>
      <c r="CH201" s="126"/>
      <c r="CI201" s="126"/>
      <c r="CJ201" s="126"/>
      <c r="CK201" s="126"/>
    </row>
    <row r="202" spans="1:89" ht="9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  <c r="BF202" s="126"/>
      <c r="BG202" s="126"/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26"/>
      <c r="BV202" s="126"/>
      <c r="BW202" s="126"/>
      <c r="BX202" s="126"/>
      <c r="BY202" s="126"/>
      <c r="BZ202" s="126"/>
      <c r="CA202" s="126"/>
      <c r="CB202" s="126"/>
      <c r="CC202" s="126"/>
      <c r="CD202" s="126"/>
      <c r="CE202" s="126"/>
      <c r="CF202" s="126"/>
      <c r="CG202" s="126"/>
      <c r="CH202" s="126"/>
      <c r="CI202" s="126"/>
      <c r="CJ202" s="126"/>
      <c r="CK202" s="126"/>
    </row>
    <row r="203" spans="1:89" ht="9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26"/>
      <c r="BV203" s="126"/>
      <c r="BW203" s="126"/>
      <c r="BX203" s="126"/>
      <c r="BY203" s="126"/>
      <c r="BZ203" s="126"/>
      <c r="CA203" s="126"/>
      <c r="CB203" s="126"/>
      <c r="CC203" s="126"/>
      <c r="CD203" s="126"/>
      <c r="CE203" s="126"/>
      <c r="CF203" s="126"/>
      <c r="CG203" s="126"/>
      <c r="CH203" s="126"/>
      <c r="CI203" s="126"/>
      <c r="CJ203" s="126"/>
      <c r="CK203" s="126"/>
    </row>
    <row r="204" spans="1:89" ht="9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26"/>
      <c r="BV204" s="126"/>
      <c r="BW204" s="126"/>
      <c r="BX204" s="126"/>
      <c r="BY204" s="126"/>
      <c r="BZ204" s="126"/>
      <c r="CA204" s="126"/>
      <c r="CB204" s="126"/>
      <c r="CC204" s="126"/>
      <c r="CD204" s="126"/>
      <c r="CE204" s="126"/>
      <c r="CF204" s="126"/>
      <c r="CG204" s="126"/>
      <c r="CH204" s="126"/>
      <c r="CI204" s="126"/>
      <c r="CJ204" s="126"/>
      <c r="CK204" s="126"/>
    </row>
    <row r="205" spans="1:89" ht="9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/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</row>
    <row r="206" spans="1:89" ht="9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</row>
    <row r="207" spans="1:89" ht="9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6"/>
      <c r="BY207" s="126"/>
      <c r="BZ207" s="126"/>
      <c r="CA207" s="126"/>
      <c r="CB207" s="126"/>
      <c r="CC207" s="126"/>
      <c r="CD207" s="126"/>
      <c r="CE207" s="126"/>
      <c r="CF207" s="126"/>
      <c r="CG207" s="126"/>
      <c r="CH207" s="126"/>
      <c r="CI207" s="126"/>
      <c r="CJ207" s="126"/>
      <c r="CK207" s="126"/>
    </row>
    <row r="208" spans="1:89" ht="9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26"/>
      <c r="BG208" s="126"/>
      <c r="BH208" s="126"/>
      <c r="BI208" s="126"/>
      <c r="BJ208" s="126"/>
      <c r="BK208" s="126"/>
      <c r="BL208" s="126"/>
      <c r="BM208" s="126"/>
      <c r="BN208" s="126"/>
      <c r="BO208" s="126"/>
      <c r="BP208" s="126"/>
      <c r="BQ208" s="126"/>
      <c r="BR208" s="126"/>
      <c r="BS208" s="126"/>
      <c r="BT208" s="126"/>
      <c r="BU208" s="126"/>
      <c r="BV208" s="126"/>
      <c r="BW208" s="126"/>
      <c r="BX208" s="126"/>
      <c r="BY208" s="126"/>
      <c r="BZ208" s="126"/>
      <c r="CA208" s="126"/>
      <c r="CB208" s="126"/>
      <c r="CC208" s="126"/>
      <c r="CD208" s="126"/>
      <c r="CE208" s="126"/>
      <c r="CF208" s="126"/>
      <c r="CG208" s="126"/>
      <c r="CH208" s="126"/>
      <c r="CI208" s="126"/>
      <c r="CJ208" s="126"/>
      <c r="CK208" s="126"/>
    </row>
    <row r="209" spans="1:89" ht="9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  <c r="BF209" s="126"/>
      <c r="BG209" s="126"/>
      <c r="BH209" s="126"/>
      <c r="BI209" s="126"/>
      <c r="BJ209" s="126"/>
      <c r="BK209" s="126"/>
      <c r="BL209" s="126"/>
      <c r="BM209" s="126"/>
      <c r="BN209" s="126"/>
      <c r="BO209" s="126"/>
      <c r="BP209" s="126"/>
      <c r="BQ209" s="126"/>
      <c r="BR209" s="126"/>
      <c r="BS209" s="126"/>
      <c r="BT209" s="126"/>
      <c r="BU209" s="126"/>
      <c r="BV209" s="126"/>
      <c r="BW209" s="126"/>
      <c r="BX209" s="126"/>
      <c r="BY209" s="126"/>
      <c r="BZ209" s="126"/>
      <c r="CA209" s="126"/>
      <c r="CB209" s="126"/>
      <c r="CC209" s="126"/>
      <c r="CD209" s="126"/>
      <c r="CE209" s="126"/>
      <c r="CF209" s="126"/>
      <c r="CG209" s="126"/>
      <c r="CH209" s="126"/>
      <c r="CI209" s="126"/>
      <c r="CJ209" s="126"/>
      <c r="CK209" s="126"/>
    </row>
    <row r="210" spans="1:89" ht="9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26"/>
      <c r="BR210" s="126"/>
      <c r="BS210" s="126"/>
      <c r="BT210" s="126"/>
      <c r="BU210" s="126"/>
      <c r="BV210" s="126"/>
      <c r="BW210" s="126"/>
      <c r="BX210" s="126"/>
      <c r="BY210" s="126"/>
      <c r="BZ210" s="126"/>
      <c r="CA210" s="126"/>
      <c r="CB210" s="126"/>
      <c r="CC210" s="126"/>
      <c r="CD210" s="126"/>
      <c r="CE210" s="126"/>
      <c r="CF210" s="126"/>
      <c r="CG210" s="126"/>
      <c r="CH210" s="126"/>
      <c r="CI210" s="126"/>
      <c r="CJ210" s="126"/>
      <c r="CK210" s="126"/>
    </row>
    <row r="211" spans="1:89" ht="9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26"/>
      <c r="BR211" s="126"/>
      <c r="BS211" s="126"/>
      <c r="BT211" s="126"/>
      <c r="BU211" s="126"/>
      <c r="BV211" s="126"/>
      <c r="BW211" s="126"/>
      <c r="BX211" s="126"/>
      <c r="BY211" s="126"/>
      <c r="BZ211" s="126"/>
      <c r="CA211" s="126"/>
      <c r="CB211" s="126"/>
      <c r="CC211" s="126"/>
      <c r="CD211" s="126"/>
      <c r="CE211" s="126"/>
      <c r="CF211" s="126"/>
      <c r="CG211" s="126"/>
      <c r="CH211" s="126"/>
      <c r="CI211" s="126"/>
      <c r="CJ211" s="126"/>
      <c r="CK211" s="126"/>
    </row>
    <row r="212" spans="1:89" ht="9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  <c r="BF212" s="126"/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26"/>
      <c r="BR212" s="126"/>
      <c r="BS212" s="126"/>
      <c r="BT212" s="126"/>
      <c r="BU212" s="126"/>
      <c r="BV212" s="126"/>
      <c r="BW212" s="126"/>
      <c r="BX212" s="126"/>
      <c r="BY212" s="126"/>
      <c r="BZ212" s="126"/>
      <c r="CA212" s="126"/>
      <c r="CB212" s="126"/>
      <c r="CC212" s="126"/>
      <c r="CD212" s="126"/>
      <c r="CE212" s="126"/>
      <c r="CF212" s="126"/>
      <c r="CG212" s="126"/>
      <c r="CH212" s="126"/>
      <c r="CI212" s="126"/>
      <c r="CJ212" s="126"/>
      <c r="CK212" s="126"/>
    </row>
    <row r="213" spans="1:89" ht="9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26"/>
      <c r="BT213" s="126"/>
      <c r="BU213" s="126"/>
      <c r="BV213" s="126"/>
      <c r="BW213" s="126"/>
      <c r="BX213" s="126"/>
      <c r="BY213" s="126"/>
      <c r="BZ213" s="126"/>
      <c r="CA213" s="126"/>
      <c r="CB213" s="126"/>
      <c r="CC213" s="126"/>
      <c r="CD213" s="126"/>
      <c r="CE213" s="126"/>
      <c r="CF213" s="126"/>
      <c r="CG213" s="126"/>
      <c r="CH213" s="126"/>
      <c r="CI213" s="126"/>
      <c r="CJ213" s="126"/>
      <c r="CK213" s="126"/>
    </row>
    <row r="214" spans="1:89" ht="9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26"/>
      <c r="BT214" s="126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6"/>
      <c r="CG214" s="126"/>
      <c r="CH214" s="126"/>
      <c r="CI214" s="126"/>
      <c r="CJ214" s="126"/>
      <c r="CK214" s="126"/>
    </row>
    <row r="215" spans="1:89" ht="9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6"/>
      <c r="CG215" s="126"/>
      <c r="CH215" s="126"/>
      <c r="CI215" s="126"/>
      <c r="CJ215" s="126"/>
      <c r="CK215" s="126"/>
    </row>
    <row r="216" spans="1:89" ht="9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26"/>
      <c r="BT216" s="126"/>
      <c r="BU216" s="126"/>
      <c r="BV216" s="126"/>
      <c r="BW216" s="126"/>
      <c r="BX216" s="126"/>
      <c r="BY216" s="126"/>
      <c r="BZ216" s="126"/>
      <c r="CA216" s="126"/>
      <c r="CB216" s="126"/>
      <c r="CC216" s="126"/>
      <c r="CD216" s="126"/>
      <c r="CE216" s="126"/>
      <c r="CF216" s="126"/>
      <c r="CG216" s="126"/>
      <c r="CH216" s="126"/>
      <c r="CI216" s="126"/>
      <c r="CJ216" s="126"/>
      <c r="CK216" s="126"/>
    </row>
    <row r="217" spans="1:89" ht="9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26"/>
      <c r="BT217" s="126"/>
      <c r="BU217" s="126"/>
      <c r="BV217" s="126"/>
      <c r="BW217" s="126"/>
      <c r="BX217" s="126"/>
      <c r="BY217" s="126"/>
      <c r="BZ217" s="126"/>
      <c r="CA217" s="126"/>
      <c r="CB217" s="126"/>
      <c r="CC217" s="126"/>
      <c r="CD217" s="126"/>
      <c r="CE217" s="126"/>
      <c r="CF217" s="126"/>
      <c r="CG217" s="126"/>
      <c r="CH217" s="126"/>
      <c r="CI217" s="126"/>
      <c r="CJ217" s="126"/>
      <c r="CK217" s="126"/>
    </row>
    <row r="218" spans="1:89" ht="9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26"/>
      <c r="BT218" s="126"/>
      <c r="BU218" s="126"/>
      <c r="BV218" s="126"/>
      <c r="BW218" s="126"/>
      <c r="BX218" s="126"/>
      <c r="BY218" s="126"/>
      <c r="BZ218" s="126"/>
      <c r="CA218" s="126"/>
      <c r="CB218" s="126"/>
      <c r="CC218" s="126"/>
      <c r="CD218" s="126"/>
      <c r="CE218" s="126"/>
      <c r="CF218" s="126"/>
      <c r="CG218" s="126"/>
      <c r="CH218" s="126"/>
      <c r="CI218" s="126"/>
      <c r="CJ218" s="126"/>
      <c r="CK218" s="126"/>
    </row>
    <row r="219" spans="1:89" ht="9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  <c r="BL219" s="126"/>
      <c r="BM219" s="126"/>
      <c r="BN219" s="126"/>
      <c r="BO219" s="126"/>
      <c r="BP219" s="126"/>
      <c r="BQ219" s="126"/>
      <c r="BR219" s="126"/>
      <c r="BS219" s="126"/>
      <c r="BT219" s="126"/>
      <c r="BU219" s="126"/>
      <c r="BV219" s="126"/>
      <c r="BW219" s="126"/>
      <c r="BX219" s="126"/>
      <c r="BY219" s="126"/>
      <c r="BZ219" s="126"/>
      <c r="CA219" s="126"/>
      <c r="CB219" s="126"/>
      <c r="CC219" s="126"/>
      <c r="CD219" s="126"/>
      <c r="CE219" s="126"/>
      <c r="CF219" s="126"/>
      <c r="CG219" s="126"/>
      <c r="CH219" s="126"/>
      <c r="CI219" s="126"/>
      <c r="CJ219" s="126"/>
      <c r="CK219" s="126"/>
    </row>
    <row r="220" spans="1:89" ht="9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126"/>
      <c r="CG220" s="126"/>
      <c r="CH220" s="126"/>
      <c r="CI220" s="126"/>
      <c r="CJ220" s="126"/>
      <c r="CK220" s="126"/>
    </row>
    <row r="221" spans="1:89" ht="9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6"/>
      <c r="CF221" s="126"/>
      <c r="CG221" s="126"/>
      <c r="CH221" s="126"/>
      <c r="CI221" s="126"/>
      <c r="CJ221" s="126"/>
      <c r="CK221" s="126"/>
    </row>
    <row r="222" spans="1:89" ht="9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6"/>
      <c r="CF222" s="126"/>
      <c r="CG222" s="126"/>
      <c r="CH222" s="126"/>
      <c r="CI222" s="126"/>
      <c r="CJ222" s="126"/>
      <c r="CK222" s="126"/>
    </row>
    <row r="223" spans="1:89" ht="9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26"/>
      <c r="BT223" s="126"/>
      <c r="BU223" s="126"/>
      <c r="BV223" s="126"/>
      <c r="BW223" s="126"/>
      <c r="BX223" s="126"/>
      <c r="BY223" s="126"/>
      <c r="BZ223" s="126"/>
      <c r="CA223" s="126"/>
      <c r="CB223" s="126"/>
      <c r="CC223" s="126"/>
      <c r="CD223" s="126"/>
      <c r="CE223" s="126"/>
      <c r="CF223" s="126"/>
      <c r="CG223" s="126"/>
      <c r="CH223" s="126"/>
      <c r="CI223" s="126"/>
      <c r="CJ223" s="126"/>
      <c r="CK223" s="126"/>
    </row>
    <row r="224" spans="1:89" ht="9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126"/>
      <c r="CG224" s="126"/>
      <c r="CH224" s="126"/>
      <c r="CI224" s="126"/>
      <c r="CJ224" s="126"/>
      <c r="CK224" s="126"/>
    </row>
    <row r="225" spans="1:89" ht="9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26"/>
      <c r="BT225" s="126"/>
      <c r="BU225" s="126"/>
      <c r="BV225" s="126"/>
      <c r="BW225" s="126"/>
      <c r="BX225" s="126"/>
      <c r="BY225" s="126"/>
      <c r="BZ225" s="126"/>
      <c r="CA225" s="126"/>
      <c r="CB225" s="126"/>
      <c r="CC225" s="126"/>
      <c r="CD225" s="126"/>
      <c r="CE225" s="126"/>
      <c r="CF225" s="126"/>
      <c r="CG225" s="126"/>
      <c r="CH225" s="126"/>
      <c r="CI225" s="126"/>
      <c r="CJ225" s="126"/>
      <c r="CK225" s="126"/>
    </row>
    <row r="226" spans="1:89" ht="9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26"/>
      <c r="BT226" s="126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6"/>
      <c r="CF226" s="126"/>
      <c r="CG226" s="126"/>
      <c r="CH226" s="126"/>
      <c r="CI226" s="126"/>
      <c r="CJ226" s="126"/>
      <c r="CK226" s="126"/>
    </row>
    <row r="227" spans="1:89" ht="9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26"/>
      <c r="BR227" s="126"/>
      <c r="BS227" s="126"/>
      <c r="BT227" s="126"/>
      <c r="BU227" s="126"/>
      <c r="BV227" s="126"/>
      <c r="BW227" s="126"/>
      <c r="BX227" s="126"/>
      <c r="BY227" s="126"/>
      <c r="BZ227" s="126"/>
      <c r="CA227" s="126"/>
      <c r="CB227" s="126"/>
      <c r="CC227" s="126"/>
      <c r="CD227" s="126"/>
      <c r="CE227" s="126"/>
      <c r="CF227" s="126"/>
      <c r="CG227" s="126"/>
      <c r="CH227" s="126"/>
      <c r="CI227" s="126"/>
      <c r="CJ227" s="126"/>
      <c r="CK227" s="126"/>
    </row>
    <row r="228" spans="1:89" ht="9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26"/>
      <c r="BR228" s="126"/>
      <c r="BS228" s="126"/>
      <c r="BT228" s="126"/>
      <c r="BU228" s="126"/>
      <c r="BV228" s="126"/>
      <c r="BW228" s="126"/>
      <c r="BX228" s="126"/>
      <c r="BY228" s="126"/>
      <c r="BZ228" s="126"/>
      <c r="CA228" s="126"/>
      <c r="CB228" s="126"/>
      <c r="CC228" s="126"/>
      <c r="CD228" s="126"/>
      <c r="CE228" s="126"/>
      <c r="CF228" s="126"/>
      <c r="CG228" s="126"/>
      <c r="CH228" s="126"/>
      <c r="CI228" s="126"/>
      <c r="CJ228" s="126"/>
      <c r="CK228" s="126"/>
    </row>
    <row r="229" spans="1:89" ht="9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26"/>
      <c r="BR229" s="126"/>
      <c r="BS229" s="126"/>
      <c r="BT229" s="126"/>
      <c r="BU229" s="126"/>
      <c r="BV229" s="126"/>
      <c r="BW229" s="126"/>
      <c r="BX229" s="126"/>
      <c r="BY229" s="126"/>
      <c r="BZ229" s="126"/>
      <c r="CA229" s="126"/>
      <c r="CB229" s="126"/>
      <c r="CC229" s="126"/>
      <c r="CD229" s="126"/>
      <c r="CE229" s="126"/>
      <c r="CF229" s="126"/>
      <c r="CG229" s="126"/>
      <c r="CH229" s="126"/>
      <c r="CI229" s="126"/>
      <c r="CJ229" s="126"/>
      <c r="CK229" s="126"/>
    </row>
    <row r="230" spans="1:89" ht="9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26"/>
      <c r="BR230" s="126"/>
      <c r="BS230" s="126"/>
      <c r="BT230" s="126"/>
      <c r="BU230" s="126"/>
      <c r="BV230" s="126"/>
      <c r="BW230" s="126"/>
      <c r="BX230" s="126"/>
      <c r="BY230" s="126"/>
      <c r="BZ230" s="126"/>
      <c r="CA230" s="126"/>
      <c r="CB230" s="126"/>
      <c r="CC230" s="126"/>
      <c r="CD230" s="126"/>
      <c r="CE230" s="126"/>
      <c r="CF230" s="126"/>
      <c r="CG230" s="126"/>
      <c r="CH230" s="126"/>
      <c r="CI230" s="126"/>
      <c r="CJ230" s="126"/>
      <c r="CK230" s="126"/>
    </row>
    <row r="231" spans="1:89" ht="9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26"/>
      <c r="BR231" s="126"/>
      <c r="BS231" s="126"/>
      <c r="BT231" s="126"/>
      <c r="BU231" s="126"/>
      <c r="BV231" s="126"/>
      <c r="BW231" s="126"/>
      <c r="BX231" s="126"/>
      <c r="BY231" s="126"/>
      <c r="BZ231" s="126"/>
      <c r="CA231" s="126"/>
      <c r="CB231" s="126"/>
      <c r="CC231" s="126"/>
      <c r="CD231" s="126"/>
      <c r="CE231" s="126"/>
      <c r="CF231" s="126"/>
      <c r="CG231" s="126"/>
      <c r="CH231" s="126"/>
      <c r="CI231" s="126"/>
      <c r="CJ231" s="126"/>
      <c r="CK231" s="126"/>
    </row>
    <row r="232" spans="1:89" ht="9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26"/>
      <c r="BT232" s="126"/>
      <c r="BU232" s="126"/>
      <c r="BV232" s="126"/>
      <c r="BW232" s="126"/>
      <c r="BX232" s="126"/>
      <c r="BY232" s="126"/>
      <c r="BZ232" s="126"/>
      <c r="CA232" s="126"/>
      <c r="CB232" s="126"/>
      <c r="CC232" s="126"/>
      <c r="CD232" s="126"/>
      <c r="CE232" s="126"/>
      <c r="CF232" s="126"/>
      <c r="CG232" s="126"/>
      <c r="CH232" s="126"/>
      <c r="CI232" s="126"/>
      <c r="CJ232" s="126"/>
      <c r="CK232" s="126"/>
    </row>
    <row r="233" spans="1:89" ht="9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26"/>
      <c r="BR233" s="126"/>
      <c r="BS233" s="126"/>
      <c r="BT233" s="126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6"/>
      <c r="CF233" s="126"/>
      <c r="CG233" s="126"/>
      <c r="CH233" s="126"/>
      <c r="CI233" s="126"/>
      <c r="CJ233" s="126"/>
      <c r="CK233" s="126"/>
    </row>
    <row r="234" spans="1:89" ht="9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26"/>
      <c r="BT234" s="126"/>
      <c r="BU234" s="126"/>
      <c r="BV234" s="126"/>
      <c r="BW234" s="126"/>
      <c r="BX234" s="126"/>
      <c r="BY234" s="126"/>
      <c r="BZ234" s="126"/>
      <c r="CA234" s="126"/>
      <c r="CB234" s="126"/>
      <c r="CC234" s="126"/>
      <c r="CD234" s="126"/>
      <c r="CE234" s="126"/>
      <c r="CF234" s="126"/>
      <c r="CG234" s="126"/>
      <c r="CH234" s="126"/>
      <c r="CI234" s="126"/>
      <c r="CJ234" s="126"/>
      <c r="CK234" s="126"/>
    </row>
    <row r="235" spans="1:89" ht="9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26"/>
      <c r="BR235" s="126"/>
      <c r="BS235" s="126"/>
      <c r="BT235" s="126"/>
      <c r="BU235" s="126"/>
      <c r="BV235" s="126"/>
      <c r="BW235" s="126"/>
      <c r="BX235" s="126"/>
      <c r="BY235" s="126"/>
      <c r="BZ235" s="126"/>
      <c r="CA235" s="126"/>
      <c r="CB235" s="126"/>
      <c r="CC235" s="126"/>
      <c r="CD235" s="126"/>
      <c r="CE235" s="126"/>
      <c r="CF235" s="126"/>
      <c r="CG235" s="126"/>
      <c r="CH235" s="126"/>
      <c r="CI235" s="126"/>
      <c r="CJ235" s="126"/>
      <c r="CK235" s="126"/>
    </row>
    <row r="236" spans="1:89" ht="9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26"/>
      <c r="BT236" s="126"/>
      <c r="BU236" s="126"/>
      <c r="BV236" s="126"/>
      <c r="BW236" s="126"/>
      <c r="BX236" s="126"/>
      <c r="BY236" s="126"/>
      <c r="BZ236" s="126"/>
      <c r="CA236" s="126"/>
      <c r="CB236" s="126"/>
      <c r="CC236" s="126"/>
      <c r="CD236" s="126"/>
      <c r="CE236" s="126"/>
      <c r="CF236" s="126"/>
      <c r="CG236" s="126"/>
      <c r="CH236" s="126"/>
      <c r="CI236" s="126"/>
      <c r="CJ236" s="126"/>
      <c r="CK236" s="126"/>
    </row>
    <row r="237" spans="1:89" ht="9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/>
      <c r="BN237" s="126"/>
      <c r="BO237" s="126"/>
      <c r="BP237" s="126"/>
      <c r="BQ237" s="126"/>
      <c r="BR237" s="126"/>
      <c r="BS237" s="126"/>
      <c r="BT237" s="126"/>
      <c r="BU237" s="126"/>
      <c r="BV237" s="126"/>
      <c r="BW237" s="126"/>
      <c r="BX237" s="126"/>
      <c r="BY237" s="126"/>
      <c r="BZ237" s="126"/>
      <c r="CA237" s="126"/>
      <c r="CB237" s="126"/>
      <c r="CC237" s="126"/>
      <c r="CD237" s="126"/>
      <c r="CE237" s="126"/>
      <c r="CF237" s="126"/>
      <c r="CG237" s="126"/>
      <c r="CH237" s="126"/>
      <c r="CI237" s="126"/>
      <c r="CJ237" s="126"/>
      <c r="CK237" s="126"/>
    </row>
    <row r="238" spans="1:89" ht="9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6"/>
      <c r="BJ238" s="126"/>
      <c r="BK238" s="126"/>
      <c r="BL238" s="126"/>
      <c r="BM238" s="126"/>
      <c r="BN238" s="126"/>
      <c r="BO238" s="126"/>
      <c r="BP238" s="126"/>
      <c r="BQ238" s="126"/>
      <c r="BR238" s="126"/>
      <c r="BS238" s="126"/>
      <c r="BT238" s="126"/>
      <c r="BU238" s="126"/>
      <c r="BV238" s="126"/>
      <c r="BW238" s="126"/>
      <c r="BX238" s="126"/>
      <c r="BY238" s="126"/>
      <c r="BZ238" s="126"/>
      <c r="CA238" s="126"/>
      <c r="CB238" s="126"/>
      <c r="CC238" s="126"/>
      <c r="CD238" s="126"/>
      <c r="CE238" s="126"/>
      <c r="CF238" s="126"/>
      <c r="CG238" s="126"/>
      <c r="CH238" s="126"/>
      <c r="CI238" s="126"/>
      <c r="CJ238" s="126"/>
      <c r="CK238" s="126"/>
    </row>
    <row r="239" spans="1:89" ht="9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  <c r="BK239" s="126"/>
      <c r="BL239" s="126"/>
      <c r="BM239" s="126"/>
      <c r="BN239" s="126"/>
      <c r="BO239" s="126"/>
      <c r="BP239" s="126"/>
      <c r="BQ239" s="126"/>
      <c r="BR239" s="126"/>
      <c r="BS239" s="126"/>
      <c r="BT239" s="126"/>
      <c r="BU239" s="126"/>
      <c r="BV239" s="126"/>
      <c r="BW239" s="126"/>
      <c r="BX239" s="126"/>
      <c r="BY239" s="126"/>
      <c r="BZ239" s="126"/>
      <c r="CA239" s="126"/>
      <c r="CB239" s="126"/>
      <c r="CC239" s="126"/>
      <c r="CD239" s="126"/>
      <c r="CE239" s="126"/>
      <c r="CF239" s="126"/>
      <c r="CG239" s="126"/>
      <c r="CH239" s="126"/>
      <c r="CI239" s="126"/>
      <c r="CJ239" s="126"/>
      <c r="CK239" s="126"/>
    </row>
    <row r="240" spans="1:89" ht="9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6"/>
      <c r="BJ240" s="126"/>
      <c r="BK240" s="126"/>
      <c r="BL240" s="126"/>
      <c r="BM240" s="126"/>
      <c r="BN240" s="126"/>
      <c r="BO240" s="126"/>
      <c r="BP240" s="126"/>
      <c r="BQ240" s="126"/>
      <c r="BR240" s="126"/>
      <c r="BS240" s="126"/>
      <c r="BT240" s="126"/>
      <c r="BU240" s="126"/>
      <c r="BV240" s="126"/>
      <c r="BW240" s="126"/>
      <c r="BX240" s="126"/>
      <c r="BY240" s="126"/>
      <c r="BZ240" s="126"/>
      <c r="CA240" s="126"/>
      <c r="CB240" s="126"/>
      <c r="CC240" s="126"/>
      <c r="CD240" s="126"/>
      <c r="CE240" s="126"/>
      <c r="CF240" s="126"/>
      <c r="CG240" s="126"/>
      <c r="CH240" s="126"/>
      <c r="CI240" s="126"/>
      <c r="CJ240" s="126"/>
      <c r="CK240" s="126"/>
    </row>
    <row r="241" spans="1:89" ht="9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  <c r="BL241" s="126"/>
      <c r="BM241" s="126"/>
      <c r="BN241" s="126"/>
      <c r="BO241" s="126"/>
      <c r="BP241" s="126"/>
      <c r="BQ241" s="126"/>
      <c r="BR241" s="126"/>
      <c r="BS241" s="126"/>
      <c r="BT241" s="126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26"/>
      <c r="CE241" s="126"/>
      <c r="CF241" s="126"/>
      <c r="CG241" s="126"/>
      <c r="CH241" s="126"/>
      <c r="CI241" s="126"/>
      <c r="CJ241" s="126"/>
      <c r="CK241" s="126"/>
    </row>
    <row r="242" spans="1:89" ht="9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6"/>
      <c r="BJ242" s="126"/>
      <c r="BK242" s="126"/>
      <c r="BL242" s="126"/>
      <c r="BM242" s="126"/>
      <c r="BN242" s="126"/>
      <c r="BO242" s="126"/>
      <c r="BP242" s="126"/>
      <c r="BQ242" s="126"/>
      <c r="BR242" s="126"/>
      <c r="BS242" s="126"/>
      <c r="BT242" s="126"/>
      <c r="BU242" s="126"/>
      <c r="BV242" s="126"/>
      <c r="BW242" s="126"/>
      <c r="BX242" s="126"/>
      <c r="BY242" s="126"/>
      <c r="BZ242" s="126"/>
      <c r="CA242" s="126"/>
      <c r="CB242" s="126"/>
      <c r="CC242" s="126"/>
      <c r="CD242" s="126"/>
      <c r="CE242" s="126"/>
      <c r="CF242" s="126"/>
      <c r="CG242" s="126"/>
      <c r="CH242" s="126"/>
      <c r="CI242" s="126"/>
      <c r="CJ242" s="126"/>
      <c r="CK242" s="126"/>
    </row>
    <row r="243" spans="1:89" ht="9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26"/>
      <c r="BI243" s="126"/>
      <c r="BJ243" s="126"/>
      <c r="BK243" s="126"/>
      <c r="BL243" s="126"/>
      <c r="BM243" s="126"/>
      <c r="BN243" s="126"/>
      <c r="BO243" s="126"/>
      <c r="BP243" s="126"/>
      <c r="BQ243" s="126"/>
      <c r="BR243" s="126"/>
      <c r="BS243" s="126"/>
      <c r="BT243" s="126"/>
      <c r="BU243" s="126"/>
      <c r="BV243" s="126"/>
      <c r="BW243" s="126"/>
      <c r="BX243" s="126"/>
      <c r="BY243" s="126"/>
      <c r="BZ243" s="126"/>
      <c r="CA243" s="126"/>
      <c r="CB243" s="126"/>
      <c r="CC243" s="126"/>
      <c r="CD243" s="126"/>
      <c r="CE243" s="126"/>
      <c r="CF243" s="126"/>
      <c r="CG243" s="126"/>
      <c r="CH243" s="126"/>
      <c r="CI243" s="126"/>
      <c r="CJ243" s="126"/>
      <c r="CK243" s="126"/>
    </row>
    <row r="244" spans="1:89" ht="9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  <c r="BK244" s="126"/>
      <c r="BL244" s="126"/>
      <c r="BM244" s="126"/>
      <c r="BN244" s="126"/>
      <c r="BO244" s="126"/>
      <c r="BP244" s="126"/>
      <c r="BQ244" s="126"/>
      <c r="BR244" s="126"/>
      <c r="BS244" s="126"/>
      <c r="BT244" s="126"/>
      <c r="BU244" s="126"/>
      <c r="BV244" s="126"/>
      <c r="BW244" s="126"/>
      <c r="BX244" s="126"/>
      <c r="BY244" s="126"/>
      <c r="BZ244" s="126"/>
      <c r="CA244" s="126"/>
      <c r="CB244" s="126"/>
      <c r="CC244" s="126"/>
      <c r="CD244" s="126"/>
      <c r="CE244" s="126"/>
      <c r="CF244" s="126"/>
      <c r="CG244" s="126"/>
      <c r="CH244" s="126"/>
      <c r="CI244" s="126"/>
      <c r="CJ244" s="126"/>
      <c r="CK244" s="126"/>
    </row>
    <row r="245" spans="1:89" ht="9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26"/>
      <c r="BI245" s="126"/>
      <c r="BJ245" s="126"/>
      <c r="BK245" s="126"/>
      <c r="BL245" s="126"/>
      <c r="BM245" s="126"/>
      <c r="BN245" s="126"/>
      <c r="BO245" s="126"/>
      <c r="BP245" s="126"/>
      <c r="BQ245" s="126"/>
      <c r="BR245" s="126"/>
      <c r="BS245" s="126"/>
      <c r="BT245" s="126"/>
      <c r="BU245" s="126"/>
      <c r="BV245" s="126"/>
      <c r="BW245" s="126"/>
      <c r="BX245" s="126"/>
      <c r="BY245" s="126"/>
      <c r="BZ245" s="126"/>
      <c r="CA245" s="126"/>
      <c r="CB245" s="126"/>
      <c r="CC245" s="126"/>
      <c r="CD245" s="126"/>
      <c r="CE245" s="126"/>
      <c r="CF245" s="126"/>
      <c r="CG245" s="126"/>
      <c r="CH245" s="126"/>
      <c r="CI245" s="126"/>
      <c r="CJ245" s="126"/>
      <c r="CK245" s="126"/>
    </row>
    <row r="246" spans="1:89" ht="9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6"/>
      <c r="BJ246" s="126"/>
      <c r="BK246" s="126"/>
      <c r="BL246" s="126"/>
      <c r="BM246" s="126"/>
      <c r="BN246" s="126"/>
      <c r="BO246" s="126"/>
      <c r="BP246" s="126"/>
      <c r="BQ246" s="126"/>
      <c r="BR246" s="126"/>
      <c r="BS246" s="126"/>
      <c r="BT246" s="126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6"/>
      <c r="CF246" s="126"/>
      <c r="CG246" s="126"/>
      <c r="CH246" s="126"/>
      <c r="CI246" s="126"/>
      <c r="CJ246" s="126"/>
      <c r="CK246" s="126"/>
    </row>
    <row r="247" spans="1:89" ht="9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26"/>
      <c r="BI247" s="126"/>
      <c r="BJ247" s="126"/>
      <c r="BK247" s="126"/>
      <c r="BL247" s="126"/>
      <c r="BM247" s="126"/>
      <c r="BN247" s="126"/>
      <c r="BO247" s="126"/>
      <c r="BP247" s="126"/>
      <c r="BQ247" s="126"/>
      <c r="BR247" s="126"/>
      <c r="BS247" s="126"/>
      <c r="BT247" s="126"/>
      <c r="BU247" s="126"/>
      <c r="BV247" s="126"/>
      <c r="BW247" s="126"/>
      <c r="BX247" s="126"/>
      <c r="BY247" s="126"/>
      <c r="BZ247" s="126"/>
      <c r="CA247" s="126"/>
      <c r="CB247" s="126"/>
      <c r="CC247" s="126"/>
      <c r="CD247" s="126"/>
      <c r="CE247" s="126"/>
      <c r="CF247" s="126"/>
      <c r="CG247" s="126"/>
      <c r="CH247" s="126"/>
      <c r="CI247" s="126"/>
      <c r="CJ247" s="126"/>
      <c r="CK247" s="126"/>
    </row>
    <row r="248" spans="1:89" ht="9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  <c r="BK248" s="126"/>
      <c r="BL248" s="126"/>
      <c r="BM248" s="126"/>
      <c r="BN248" s="126"/>
      <c r="BO248" s="126"/>
      <c r="BP248" s="126"/>
      <c r="BQ248" s="126"/>
      <c r="BR248" s="126"/>
      <c r="BS248" s="126"/>
      <c r="BT248" s="126"/>
      <c r="BU248" s="126"/>
      <c r="BV248" s="126"/>
      <c r="BW248" s="126"/>
      <c r="BX248" s="126"/>
      <c r="BY248" s="126"/>
      <c r="BZ248" s="126"/>
      <c r="CA248" s="126"/>
      <c r="CB248" s="126"/>
      <c r="CC248" s="126"/>
      <c r="CD248" s="126"/>
      <c r="CE248" s="126"/>
      <c r="CF248" s="126"/>
      <c r="CG248" s="126"/>
      <c r="CH248" s="126"/>
      <c r="CI248" s="126"/>
      <c r="CJ248" s="126"/>
      <c r="CK248" s="126"/>
    </row>
    <row r="249" spans="1:89" ht="9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  <c r="BK249" s="126"/>
      <c r="BL249" s="126"/>
      <c r="BM249" s="126"/>
      <c r="BN249" s="126"/>
      <c r="BO249" s="126"/>
      <c r="BP249" s="126"/>
      <c r="BQ249" s="126"/>
      <c r="BR249" s="126"/>
      <c r="BS249" s="126"/>
      <c r="BT249" s="126"/>
      <c r="BU249" s="126"/>
      <c r="BV249" s="126"/>
      <c r="BW249" s="126"/>
      <c r="BX249" s="126"/>
      <c r="BY249" s="126"/>
      <c r="BZ249" s="126"/>
      <c r="CA249" s="126"/>
      <c r="CB249" s="126"/>
      <c r="CC249" s="126"/>
      <c r="CD249" s="126"/>
      <c r="CE249" s="126"/>
      <c r="CF249" s="126"/>
      <c r="CG249" s="126"/>
      <c r="CH249" s="126"/>
      <c r="CI249" s="126"/>
      <c r="CJ249" s="126"/>
      <c r="CK249" s="126"/>
    </row>
    <row r="250" spans="1:89" ht="9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  <c r="BK250" s="126"/>
      <c r="BL250" s="126"/>
      <c r="BM250" s="126"/>
      <c r="BN250" s="126"/>
      <c r="BO250" s="126"/>
      <c r="BP250" s="126"/>
      <c r="BQ250" s="126"/>
      <c r="BR250" s="126"/>
      <c r="BS250" s="126"/>
      <c r="BT250" s="126"/>
      <c r="BU250" s="126"/>
      <c r="BV250" s="126"/>
      <c r="BW250" s="126"/>
      <c r="BX250" s="126"/>
      <c r="BY250" s="126"/>
      <c r="BZ250" s="126"/>
      <c r="CA250" s="126"/>
      <c r="CB250" s="126"/>
      <c r="CC250" s="126"/>
      <c r="CD250" s="126"/>
      <c r="CE250" s="126"/>
      <c r="CF250" s="126"/>
      <c r="CG250" s="126"/>
      <c r="CH250" s="126"/>
      <c r="CI250" s="126"/>
      <c r="CJ250" s="126"/>
      <c r="CK250" s="126"/>
    </row>
    <row r="251" spans="1:89" ht="9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  <c r="BK251" s="126"/>
      <c r="BL251" s="126"/>
      <c r="BM251" s="126"/>
      <c r="BN251" s="126"/>
      <c r="BO251" s="126"/>
      <c r="BP251" s="126"/>
      <c r="BQ251" s="126"/>
      <c r="BR251" s="126"/>
      <c r="BS251" s="126"/>
      <c r="BT251" s="126"/>
      <c r="BU251" s="126"/>
      <c r="BV251" s="126"/>
      <c r="BW251" s="126"/>
      <c r="BX251" s="126"/>
      <c r="BY251" s="126"/>
      <c r="BZ251" s="126"/>
      <c r="CA251" s="126"/>
      <c r="CB251" s="126"/>
      <c r="CC251" s="126"/>
      <c r="CD251" s="126"/>
      <c r="CE251" s="126"/>
      <c r="CF251" s="126"/>
      <c r="CG251" s="126"/>
      <c r="CH251" s="126"/>
      <c r="CI251" s="126"/>
      <c r="CJ251" s="126"/>
      <c r="CK251" s="126"/>
    </row>
    <row r="252" spans="1:89" ht="9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26"/>
      <c r="BT252" s="126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6"/>
      <c r="CF252" s="126"/>
      <c r="CG252" s="126"/>
      <c r="CH252" s="126"/>
      <c r="CI252" s="126"/>
      <c r="CJ252" s="126"/>
      <c r="CK252" s="126"/>
    </row>
    <row r="253" spans="1:89" ht="9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26"/>
      <c r="BT253" s="126"/>
      <c r="BU253" s="126"/>
      <c r="BV253" s="126"/>
      <c r="BW253" s="126"/>
      <c r="BX253" s="126"/>
      <c r="BY253" s="126"/>
      <c r="BZ253" s="126"/>
      <c r="CA253" s="126"/>
      <c r="CB253" s="126"/>
      <c r="CC253" s="126"/>
      <c r="CD253" s="126"/>
      <c r="CE253" s="126"/>
      <c r="CF253" s="126"/>
      <c r="CG253" s="126"/>
      <c r="CH253" s="126"/>
      <c r="CI253" s="126"/>
      <c r="CJ253" s="126"/>
      <c r="CK253" s="126"/>
    </row>
    <row r="254" spans="1:89" ht="9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26"/>
      <c r="BT254" s="126"/>
      <c r="BU254" s="126"/>
      <c r="BV254" s="126"/>
      <c r="BW254" s="126"/>
      <c r="BX254" s="126"/>
      <c r="BY254" s="126"/>
      <c r="BZ254" s="126"/>
      <c r="CA254" s="126"/>
      <c r="CB254" s="126"/>
      <c r="CC254" s="126"/>
      <c r="CD254" s="126"/>
      <c r="CE254" s="126"/>
      <c r="CF254" s="126"/>
      <c r="CG254" s="126"/>
      <c r="CH254" s="126"/>
      <c r="CI254" s="126"/>
      <c r="CJ254" s="126"/>
      <c r="CK254" s="126"/>
    </row>
    <row r="255" spans="1:89" ht="9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  <c r="BF255" s="126"/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26"/>
      <c r="BT255" s="126"/>
      <c r="BU255" s="126"/>
      <c r="BV255" s="126"/>
      <c r="BW255" s="126"/>
      <c r="BX255" s="126"/>
      <c r="BY255" s="126"/>
      <c r="BZ255" s="126"/>
      <c r="CA255" s="126"/>
      <c r="CB255" s="126"/>
      <c r="CC255" s="126"/>
      <c r="CD255" s="126"/>
      <c r="CE255" s="126"/>
      <c r="CF255" s="126"/>
      <c r="CG255" s="126"/>
      <c r="CH255" s="126"/>
      <c r="CI255" s="126"/>
      <c r="CJ255" s="126"/>
      <c r="CK255" s="126"/>
    </row>
    <row r="256" spans="1:89" ht="9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26"/>
      <c r="BT256" s="126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6"/>
      <c r="CF256" s="126"/>
      <c r="CG256" s="126"/>
      <c r="CH256" s="126"/>
      <c r="CI256" s="126"/>
      <c r="CJ256" s="126"/>
      <c r="CK256" s="126"/>
    </row>
    <row r="257" spans="1:89" ht="9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  <c r="BK257" s="126"/>
      <c r="BL257" s="126"/>
      <c r="BM257" s="126"/>
      <c r="BN257" s="126"/>
      <c r="BO257" s="126"/>
      <c r="BP257" s="126"/>
      <c r="BQ257" s="126"/>
      <c r="BR257" s="126"/>
      <c r="BS257" s="126"/>
      <c r="BT257" s="126"/>
      <c r="BU257" s="126"/>
      <c r="BV257" s="126"/>
      <c r="BW257" s="126"/>
      <c r="BX257" s="126"/>
      <c r="BY257" s="126"/>
      <c r="BZ257" s="126"/>
      <c r="CA257" s="126"/>
      <c r="CB257" s="126"/>
      <c r="CC257" s="126"/>
      <c r="CD257" s="126"/>
      <c r="CE257" s="126"/>
      <c r="CF257" s="126"/>
      <c r="CG257" s="126"/>
      <c r="CH257" s="126"/>
      <c r="CI257" s="126"/>
      <c r="CJ257" s="126"/>
      <c r="CK257" s="126"/>
    </row>
    <row r="258" spans="1:89" ht="9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  <c r="BF258" s="126"/>
      <c r="BG258" s="126"/>
      <c r="BH258" s="126"/>
      <c r="BI258" s="126"/>
      <c r="BJ258" s="126"/>
      <c r="BK258" s="126"/>
      <c r="BL258" s="126"/>
      <c r="BM258" s="126"/>
      <c r="BN258" s="126"/>
      <c r="BO258" s="126"/>
      <c r="BP258" s="126"/>
      <c r="BQ258" s="126"/>
      <c r="BR258" s="126"/>
      <c r="BS258" s="126"/>
      <c r="BT258" s="126"/>
      <c r="BU258" s="126"/>
      <c r="BV258" s="126"/>
      <c r="BW258" s="126"/>
      <c r="BX258" s="126"/>
      <c r="BY258" s="126"/>
      <c r="BZ258" s="126"/>
      <c r="CA258" s="126"/>
      <c r="CB258" s="126"/>
      <c r="CC258" s="126"/>
      <c r="CD258" s="126"/>
      <c r="CE258" s="126"/>
      <c r="CF258" s="126"/>
      <c r="CG258" s="126"/>
      <c r="CH258" s="126"/>
      <c r="CI258" s="126"/>
      <c r="CJ258" s="126"/>
      <c r="CK258" s="126"/>
    </row>
    <row r="259" spans="1:89" ht="9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  <c r="BQ259" s="126"/>
      <c r="BR259" s="126"/>
      <c r="BS259" s="126"/>
      <c r="BT259" s="126"/>
      <c r="BU259" s="126"/>
      <c r="BV259" s="126"/>
      <c r="BW259" s="126"/>
      <c r="BX259" s="126"/>
      <c r="BY259" s="126"/>
      <c r="BZ259" s="126"/>
      <c r="CA259" s="126"/>
      <c r="CB259" s="126"/>
      <c r="CC259" s="126"/>
      <c r="CD259" s="126"/>
      <c r="CE259" s="126"/>
      <c r="CF259" s="126"/>
      <c r="CG259" s="126"/>
      <c r="CH259" s="126"/>
      <c r="CI259" s="126"/>
      <c r="CJ259" s="126"/>
      <c r="CK259" s="126"/>
    </row>
    <row r="260" spans="1:89" ht="9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26"/>
      <c r="BT260" s="126"/>
      <c r="BU260" s="126"/>
      <c r="BV260" s="126"/>
      <c r="BW260" s="126"/>
      <c r="BX260" s="126"/>
      <c r="BY260" s="126"/>
      <c r="BZ260" s="126"/>
      <c r="CA260" s="126"/>
      <c r="CB260" s="126"/>
      <c r="CC260" s="126"/>
      <c r="CD260" s="126"/>
      <c r="CE260" s="126"/>
      <c r="CF260" s="126"/>
      <c r="CG260" s="126"/>
      <c r="CH260" s="126"/>
      <c r="CI260" s="126"/>
      <c r="CJ260" s="126"/>
      <c r="CK260" s="126"/>
    </row>
    <row r="261" spans="1:89" ht="9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26"/>
      <c r="BT261" s="126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6"/>
      <c r="CF261" s="126"/>
      <c r="CG261" s="126"/>
      <c r="CH261" s="126"/>
      <c r="CI261" s="126"/>
      <c r="CJ261" s="126"/>
      <c r="CK261" s="126"/>
    </row>
    <row r="262" spans="1:89" ht="9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26"/>
      <c r="BT262" s="126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6"/>
      <c r="CF262" s="126"/>
      <c r="CG262" s="126"/>
      <c r="CH262" s="126"/>
      <c r="CI262" s="126"/>
      <c r="CJ262" s="126"/>
      <c r="CK262" s="126"/>
    </row>
    <row r="263" spans="1:89" ht="9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  <c r="BF263" s="126"/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  <c r="BQ263" s="126"/>
      <c r="BR263" s="126"/>
      <c r="BS263" s="126"/>
      <c r="BT263" s="126"/>
      <c r="BU263" s="126"/>
      <c r="BV263" s="126"/>
      <c r="BW263" s="126"/>
      <c r="BX263" s="126"/>
      <c r="BY263" s="126"/>
      <c r="BZ263" s="126"/>
      <c r="CA263" s="126"/>
      <c r="CB263" s="126"/>
      <c r="CC263" s="126"/>
      <c r="CD263" s="126"/>
      <c r="CE263" s="126"/>
      <c r="CF263" s="126"/>
      <c r="CG263" s="126"/>
      <c r="CH263" s="126"/>
      <c r="CI263" s="126"/>
      <c r="CJ263" s="126"/>
      <c r="CK263" s="126"/>
    </row>
    <row r="264" spans="1:89" ht="9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6"/>
      <c r="CF264" s="126"/>
      <c r="CG264" s="126"/>
      <c r="CH264" s="126"/>
      <c r="CI264" s="126"/>
      <c r="CJ264" s="126"/>
      <c r="CK264" s="126"/>
    </row>
    <row r="265" spans="1:89" ht="9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  <c r="BF265" s="126"/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  <c r="BQ265" s="126"/>
      <c r="BR265" s="126"/>
      <c r="BS265" s="126"/>
      <c r="BT265" s="126"/>
      <c r="BU265" s="126"/>
      <c r="BV265" s="126"/>
      <c r="BW265" s="126"/>
      <c r="BX265" s="126"/>
      <c r="BY265" s="126"/>
      <c r="BZ265" s="126"/>
      <c r="CA265" s="126"/>
      <c r="CB265" s="126"/>
      <c r="CC265" s="126"/>
      <c r="CD265" s="126"/>
      <c r="CE265" s="126"/>
      <c r="CF265" s="126"/>
      <c r="CG265" s="126"/>
      <c r="CH265" s="126"/>
      <c r="CI265" s="126"/>
      <c r="CJ265" s="126"/>
      <c r="CK265" s="126"/>
    </row>
    <row r="266" spans="1:89" ht="9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26"/>
      <c r="BT266" s="126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6"/>
      <c r="CF266" s="126"/>
      <c r="CG266" s="126"/>
      <c r="CH266" s="126"/>
      <c r="CI266" s="126"/>
      <c r="CJ266" s="126"/>
      <c r="CK266" s="126"/>
    </row>
    <row r="267" spans="1:89" ht="9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  <c r="BQ267" s="126"/>
      <c r="BR267" s="126"/>
      <c r="BS267" s="126"/>
      <c r="BT267" s="126"/>
      <c r="BU267" s="126"/>
      <c r="BV267" s="126"/>
      <c r="BW267" s="126"/>
      <c r="BX267" s="126"/>
      <c r="BY267" s="126"/>
      <c r="BZ267" s="126"/>
      <c r="CA267" s="126"/>
      <c r="CB267" s="126"/>
      <c r="CC267" s="126"/>
      <c r="CD267" s="126"/>
      <c r="CE267" s="126"/>
      <c r="CF267" s="126"/>
      <c r="CG267" s="126"/>
      <c r="CH267" s="126"/>
      <c r="CI267" s="126"/>
      <c r="CJ267" s="126"/>
      <c r="CK267" s="126"/>
    </row>
    <row r="268" spans="1:89" ht="9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  <c r="BF268" s="126"/>
      <c r="BG268" s="126"/>
      <c r="BH268" s="126"/>
      <c r="BI268" s="126"/>
      <c r="BJ268" s="126"/>
      <c r="BK268" s="126"/>
      <c r="BL268" s="126"/>
      <c r="BM268" s="126"/>
      <c r="BN268" s="126"/>
      <c r="BO268" s="126"/>
      <c r="BP268" s="126"/>
      <c r="BQ268" s="126"/>
      <c r="BR268" s="126"/>
      <c r="BS268" s="126"/>
      <c r="BT268" s="126"/>
      <c r="BU268" s="126"/>
      <c r="BV268" s="126"/>
      <c r="BW268" s="126"/>
      <c r="BX268" s="126"/>
      <c r="BY268" s="126"/>
      <c r="BZ268" s="126"/>
      <c r="CA268" s="126"/>
      <c r="CB268" s="126"/>
      <c r="CC268" s="126"/>
      <c r="CD268" s="126"/>
      <c r="CE268" s="126"/>
      <c r="CF268" s="126"/>
      <c r="CG268" s="126"/>
      <c r="CH268" s="126"/>
      <c r="CI268" s="126"/>
      <c r="CJ268" s="126"/>
      <c r="CK268" s="126"/>
    </row>
    <row r="269" spans="1:89" ht="9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  <c r="BQ269" s="126"/>
      <c r="BR269" s="126"/>
      <c r="BS269" s="126"/>
      <c r="BT269" s="126"/>
      <c r="BU269" s="126"/>
      <c r="BV269" s="126"/>
      <c r="BW269" s="126"/>
      <c r="BX269" s="126"/>
      <c r="BY269" s="126"/>
      <c r="BZ269" s="126"/>
      <c r="CA269" s="126"/>
      <c r="CB269" s="126"/>
      <c r="CC269" s="126"/>
      <c r="CD269" s="126"/>
      <c r="CE269" s="126"/>
      <c r="CF269" s="126"/>
      <c r="CG269" s="126"/>
      <c r="CH269" s="126"/>
      <c r="CI269" s="126"/>
      <c r="CJ269" s="126"/>
      <c r="CK269" s="126"/>
    </row>
    <row r="270" spans="1:89" ht="9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6"/>
      <c r="BJ270" s="126"/>
      <c r="BK270" s="126"/>
      <c r="BL270" s="126"/>
      <c r="BM270" s="126"/>
      <c r="BN270" s="126"/>
      <c r="BO270" s="126"/>
      <c r="BP270" s="126"/>
      <c r="BQ270" s="126"/>
      <c r="BR270" s="126"/>
      <c r="BS270" s="126"/>
      <c r="BT270" s="126"/>
      <c r="BU270" s="126"/>
      <c r="BV270" s="126"/>
      <c r="BW270" s="126"/>
      <c r="BX270" s="126"/>
      <c r="BY270" s="126"/>
      <c r="BZ270" s="126"/>
      <c r="CA270" s="126"/>
      <c r="CB270" s="126"/>
      <c r="CC270" s="126"/>
      <c r="CD270" s="126"/>
      <c r="CE270" s="126"/>
      <c r="CF270" s="126"/>
      <c r="CG270" s="126"/>
      <c r="CH270" s="126"/>
      <c r="CI270" s="126"/>
      <c r="CJ270" s="126"/>
      <c r="CK270" s="126"/>
    </row>
    <row r="271" spans="1:89" ht="9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  <c r="BK271" s="126"/>
      <c r="BL271" s="126"/>
      <c r="BM271" s="126"/>
      <c r="BN271" s="126"/>
      <c r="BO271" s="126"/>
      <c r="BP271" s="126"/>
      <c r="BQ271" s="126"/>
      <c r="BR271" s="126"/>
      <c r="BS271" s="126"/>
      <c r="BT271" s="126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6"/>
      <c r="CF271" s="126"/>
      <c r="CG271" s="126"/>
      <c r="CH271" s="126"/>
      <c r="CI271" s="126"/>
      <c r="CJ271" s="126"/>
      <c r="CK271" s="126"/>
    </row>
    <row r="272" spans="1:89" ht="9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6"/>
      <c r="BJ272" s="126"/>
      <c r="BK272" s="126"/>
      <c r="BL272" s="126"/>
      <c r="BM272" s="126"/>
      <c r="BN272" s="126"/>
      <c r="BO272" s="126"/>
      <c r="BP272" s="126"/>
      <c r="BQ272" s="126"/>
      <c r="BR272" s="126"/>
      <c r="BS272" s="126"/>
      <c r="BT272" s="126"/>
      <c r="BU272" s="126"/>
      <c r="BV272" s="126"/>
      <c r="BW272" s="126"/>
      <c r="BX272" s="126"/>
      <c r="BY272" s="126"/>
      <c r="BZ272" s="126"/>
      <c r="CA272" s="126"/>
      <c r="CB272" s="126"/>
      <c r="CC272" s="126"/>
      <c r="CD272" s="126"/>
      <c r="CE272" s="126"/>
      <c r="CF272" s="126"/>
      <c r="CG272" s="126"/>
      <c r="CH272" s="126"/>
      <c r="CI272" s="126"/>
      <c r="CJ272" s="126"/>
      <c r="CK272" s="126"/>
    </row>
    <row r="273" spans="1:89" ht="9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  <c r="BF273" s="126"/>
      <c r="BG273" s="126"/>
      <c r="BH273" s="126"/>
      <c r="BI273" s="126"/>
      <c r="BJ273" s="126"/>
      <c r="BK273" s="126"/>
      <c r="BL273" s="126"/>
      <c r="BM273" s="126"/>
      <c r="BN273" s="126"/>
      <c r="BO273" s="126"/>
      <c r="BP273" s="126"/>
      <c r="BQ273" s="126"/>
      <c r="BR273" s="126"/>
      <c r="BS273" s="126"/>
      <c r="BT273" s="126"/>
      <c r="BU273" s="126"/>
      <c r="BV273" s="126"/>
      <c r="BW273" s="126"/>
      <c r="BX273" s="126"/>
      <c r="BY273" s="126"/>
      <c r="BZ273" s="126"/>
      <c r="CA273" s="126"/>
      <c r="CB273" s="126"/>
      <c r="CC273" s="126"/>
      <c r="CD273" s="126"/>
      <c r="CE273" s="126"/>
      <c r="CF273" s="126"/>
      <c r="CG273" s="126"/>
      <c r="CH273" s="126"/>
      <c r="CI273" s="126"/>
      <c r="CJ273" s="126"/>
      <c r="CK273" s="126"/>
    </row>
    <row r="274" spans="1:89" ht="9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  <c r="BF274" s="126"/>
      <c r="BG274" s="126"/>
      <c r="BH274" s="126"/>
      <c r="BI274" s="126"/>
      <c r="BJ274" s="126"/>
      <c r="BK274" s="126"/>
      <c r="BL274" s="126"/>
      <c r="BM274" s="126"/>
      <c r="BN274" s="126"/>
      <c r="BO274" s="126"/>
      <c r="BP274" s="126"/>
      <c r="BQ274" s="126"/>
      <c r="BR274" s="126"/>
      <c r="BS274" s="126"/>
      <c r="BT274" s="126"/>
      <c r="BU274" s="126"/>
      <c r="BV274" s="126"/>
      <c r="BW274" s="126"/>
      <c r="BX274" s="126"/>
      <c r="BY274" s="126"/>
      <c r="BZ274" s="126"/>
      <c r="CA274" s="126"/>
      <c r="CB274" s="126"/>
      <c r="CC274" s="126"/>
      <c r="CD274" s="126"/>
      <c r="CE274" s="126"/>
      <c r="CF274" s="126"/>
      <c r="CG274" s="126"/>
      <c r="CH274" s="126"/>
      <c r="CI274" s="126"/>
      <c r="CJ274" s="126"/>
      <c r="CK274" s="126"/>
    </row>
    <row r="275" spans="1:89" ht="9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  <c r="BK275" s="126"/>
      <c r="BL275" s="126"/>
      <c r="BM275" s="126"/>
      <c r="BN275" s="126"/>
      <c r="BO275" s="126"/>
      <c r="BP275" s="126"/>
      <c r="BQ275" s="126"/>
      <c r="BR275" s="126"/>
      <c r="BS275" s="126"/>
      <c r="BT275" s="126"/>
      <c r="BU275" s="126"/>
      <c r="BV275" s="126"/>
      <c r="BW275" s="126"/>
      <c r="BX275" s="126"/>
      <c r="BY275" s="126"/>
      <c r="BZ275" s="126"/>
      <c r="CA275" s="126"/>
      <c r="CB275" s="126"/>
      <c r="CC275" s="126"/>
      <c r="CD275" s="126"/>
      <c r="CE275" s="126"/>
      <c r="CF275" s="126"/>
      <c r="CG275" s="126"/>
      <c r="CH275" s="126"/>
      <c r="CI275" s="126"/>
      <c r="CJ275" s="126"/>
      <c r="CK275" s="126"/>
    </row>
    <row r="276" spans="1:89" ht="9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  <c r="BF276" s="126"/>
      <c r="BG276" s="126"/>
      <c r="BH276" s="126"/>
      <c r="BI276" s="126"/>
      <c r="BJ276" s="126"/>
      <c r="BK276" s="126"/>
      <c r="BL276" s="126"/>
      <c r="BM276" s="126"/>
      <c r="BN276" s="126"/>
      <c r="BO276" s="126"/>
      <c r="BP276" s="126"/>
      <c r="BQ276" s="126"/>
      <c r="BR276" s="126"/>
      <c r="BS276" s="126"/>
      <c r="BT276" s="126"/>
      <c r="BU276" s="126"/>
      <c r="BV276" s="126"/>
      <c r="BW276" s="126"/>
      <c r="BX276" s="126"/>
      <c r="BY276" s="126"/>
      <c r="BZ276" s="126"/>
      <c r="CA276" s="126"/>
      <c r="CB276" s="126"/>
      <c r="CC276" s="126"/>
      <c r="CD276" s="126"/>
      <c r="CE276" s="126"/>
      <c r="CF276" s="126"/>
      <c r="CG276" s="126"/>
      <c r="CH276" s="126"/>
      <c r="CI276" s="126"/>
      <c r="CJ276" s="126"/>
      <c r="CK276" s="126"/>
    </row>
    <row r="277" spans="1:89" ht="9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  <c r="BL277" s="126"/>
      <c r="BM277" s="126"/>
      <c r="BN277" s="126"/>
      <c r="BO277" s="126"/>
      <c r="BP277" s="126"/>
      <c r="BQ277" s="126"/>
      <c r="BR277" s="126"/>
      <c r="BS277" s="126"/>
      <c r="BT277" s="126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126"/>
      <c r="CG277" s="126"/>
      <c r="CH277" s="126"/>
      <c r="CI277" s="126"/>
      <c r="CJ277" s="126"/>
      <c r="CK277" s="126"/>
    </row>
    <row r="278" spans="1:89" ht="9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  <c r="BF278" s="126"/>
      <c r="BG278" s="126"/>
      <c r="BH278" s="126"/>
      <c r="BI278" s="126"/>
      <c r="BJ278" s="126"/>
      <c r="BK278" s="126"/>
      <c r="BL278" s="126"/>
      <c r="BM278" s="126"/>
      <c r="BN278" s="126"/>
      <c r="BO278" s="126"/>
      <c r="BP278" s="126"/>
      <c r="BQ278" s="126"/>
      <c r="BR278" s="126"/>
      <c r="BS278" s="126"/>
      <c r="BT278" s="126"/>
      <c r="BU278" s="126"/>
      <c r="BV278" s="126"/>
      <c r="BW278" s="126"/>
      <c r="BX278" s="126"/>
      <c r="BY278" s="126"/>
      <c r="BZ278" s="126"/>
      <c r="CA278" s="126"/>
      <c r="CB278" s="126"/>
      <c r="CC278" s="126"/>
      <c r="CD278" s="126"/>
      <c r="CE278" s="126"/>
      <c r="CF278" s="126"/>
      <c r="CG278" s="126"/>
      <c r="CH278" s="126"/>
      <c r="CI278" s="126"/>
      <c r="CJ278" s="126"/>
      <c r="CK278" s="126"/>
    </row>
    <row r="279" spans="1:89" ht="9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  <c r="BK279" s="126"/>
      <c r="BL279" s="126"/>
      <c r="BM279" s="126"/>
      <c r="BN279" s="126"/>
      <c r="BO279" s="126"/>
      <c r="BP279" s="126"/>
      <c r="BQ279" s="126"/>
      <c r="BR279" s="126"/>
      <c r="BS279" s="126"/>
      <c r="BT279" s="126"/>
      <c r="BU279" s="126"/>
      <c r="BV279" s="126"/>
      <c r="BW279" s="126"/>
      <c r="BX279" s="126"/>
      <c r="BY279" s="126"/>
      <c r="BZ279" s="126"/>
      <c r="CA279" s="126"/>
      <c r="CB279" s="126"/>
      <c r="CC279" s="126"/>
      <c r="CD279" s="126"/>
      <c r="CE279" s="126"/>
      <c r="CF279" s="126"/>
      <c r="CG279" s="126"/>
      <c r="CH279" s="126"/>
      <c r="CI279" s="126"/>
      <c r="CJ279" s="126"/>
      <c r="CK279" s="126"/>
    </row>
    <row r="280" spans="1:89" ht="9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  <c r="BF280" s="126"/>
      <c r="BG280" s="126"/>
      <c r="BH280" s="126"/>
      <c r="BI280" s="126"/>
      <c r="BJ280" s="126"/>
      <c r="BK280" s="126"/>
      <c r="BL280" s="126"/>
      <c r="BM280" s="126"/>
      <c r="BN280" s="126"/>
      <c r="BO280" s="126"/>
      <c r="BP280" s="126"/>
      <c r="BQ280" s="126"/>
      <c r="BR280" s="126"/>
      <c r="BS280" s="126"/>
      <c r="BT280" s="126"/>
      <c r="BU280" s="126"/>
      <c r="BV280" s="126"/>
      <c r="BW280" s="126"/>
      <c r="BX280" s="126"/>
      <c r="BY280" s="126"/>
      <c r="BZ280" s="126"/>
      <c r="CA280" s="126"/>
      <c r="CB280" s="126"/>
      <c r="CC280" s="126"/>
      <c r="CD280" s="126"/>
      <c r="CE280" s="126"/>
      <c r="CF280" s="126"/>
      <c r="CG280" s="126"/>
      <c r="CH280" s="126"/>
      <c r="CI280" s="126"/>
      <c r="CJ280" s="126"/>
      <c r="CK280" s="126"/>
    </row>
    <row r="281" spans="1:89" ht="9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  <c r="BL281" s="126"/>
      <c r="BM281" s="126"/>
      <c r="BN281" s="126"/>
      <c r="BO281" s="126"/>
      <c r="BP281" s="126"/>
      <c r="BQ281" s="126"/>
      <c r="BR281" s="126"/>
      <c r="BS281" s="126"/>
      <c r="BT281" s="126"/>
      <c r="BU281" s="126"/>
      <c r="BV281" s="126"/>
      <c r="BW281" s="126"/>
      <c r="BX281" s="126"/>
      <c r="BY281" s="126"/>
      <c r="BZ281" s="126"/>
      <c r="CA281" s="126"/>
      <c r="CB281" s="126"/>
      <c r="CC281" s="126"/>
      <c r="CD281" s="126"/>
      <c r="CE281" s="126"/>
      <c r="CF281" s="126"/>
      <c r="CG281" s="126"/>
      <c r="CH281" s="126"/>
      <c r="CI281" s="126"/>
      <c r="CJ281" s="126"/>
      <c r="CK281" s="126"/>
    </row>
    <row r="282" spans="1:89" ht="9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  <c r="BF282" s="126"/>
      <c r="BG282" s="126"/>
      <c r="BH282" s="126"/>
      <c r="BI282" s="126"/>
      <c r="BJ282" s="126"/>
      <c r="BK282" s="126"/>
      <c r="BL282" s="126"/>
      <c r="BM282" s="126"/>
      <c r="BN282" s="126"/>
      <c r="BO282" s="126"/>
      <c r="BP282" s="126"/>
      <c r="BQ282" s="126"/>
      <c r="BR282" s="126"/>
      <c r="BS282" s="126"/>
      <c r="BT282" s="126"/>
      <c r="BU282" s="126"/>
      <c r="BV282" s="126"/>
      <c r="BW282" s="126"/>
      <c r="BX282" s="126"/>
      <c r="BY282" s="126"/>
      <c r="BZ282" s="126"/>
      <c r="CA282" s="126"/>
      <c r="CB282" s="126"/>
      <c r="CC282" s="126"/>
      <c r="CD282" s="126"/>
      <c r="CE282" s="126"/>
      <c r="CF282" s="126"/>
      <c r="CG282" s="126"/>
      <c r="CH282" s="126"/>
      <c r="CI282" s="126"/>
      <c r="CJ282" s="126"/>
      <c r="CK282" s="126"/>
    </row>
    <row r="283" spans="1:89" ht="9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  <c r="BF283" s="126"/>
      <c r="BG283" s="126"/>
      <c r="BH283" s="126"/>
      <c r="BI283" s="126"/>
      <c r="BJ283" s="126"/>
      <c r="BK283" s="126"/>
      <c r="BL283" s="126"/>
      <c r="BM283" s="126"/>
      <c r="BN283" s="126"/>
      <c r="BO283" s="126"/>
      <c r="BP283" s="126"/>
      <c r="BQ283" s="126"/>
      <c r="BR283" s="126"/>
      <c r="BS283" s="126"/>
      <c r="BT283" s="126"/>
      <c r="BU283" s="126"/>
      <c r="BV283" s="126"/>
      <c r="BW283" s="126"/>
      <c r="BX283" s="126"/>
      <c r="BY283" s="126"/>
      <c r="BZ283" s="126"/>
      <c r="CA283" s="126"/>
      <c r="CB283" s="126"/>
      <c r="CC283" s="126"/>
      <c r="CD283" s="126"/>
      <c r="CE283" s="126"/>
      <c r="CF283" s="126"/>
      <c r="CG283" s="126"/>
      <c r="CH283" s="126"/>
      <c r="CI283" s="126"/>
      <c r="CJ283" s="126"/>
      <c r="CK283" s="126"/>
    </row>
    <row r="284" spans="1:89" ht="9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  <c r="BF284" s="126"/>
      <c r="BG284" s="126"/>
      <c r="BH284" s="126"/>
      <c r="BI284" s="126"/>
      <c r="BJ284" s="126"/>
      <c r="BK284" s="126"/>
      <c r="BL284" s="126"/>
      <c r="BM284" s="126"/>
      <c r="BN284" s="126"/>
      <c r="BO284" s="126"/>
      <c r="BP284" s="126"/>
      <c r="BQ284" s="126"/>
      <c r="BR284" s="126"/>
      <c r="BS284" s="126"/>
      <c r="BT284" s="126"/>
      <c r="BU284" s="126"/>
      <c r="BV284" s="126"/>
      <c r="BW284" s="126"/>
      <c r="BX284" s="126"/>
      <c r="BY284" s="126"/>
      <c r="BZ284" s="126"/>
      <c r="CA284" s="126"/>
      <c r="CB284" s="126"/>
      <c r="CC284" s="126"/>
      <c r="CD284" s="126"/>
      <c r="CE284" s="126"/>
      <c r="CF284" s="126"/>
      <c r="CG284" s="126"/>
      <c r="CH284" s="126"/>
      <c r="CI284" s="126"/>
      <c r="CJ284" s="126"/>
      <c r="CK284" s="126"/>
    </row>
    <row r="285" spans="1:89" ht="9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  <c r="BF285" s="126"/>
      <c r="BG285" s="126"/>
      <c r="BH285" s="126"/>
      <c r="BI285" s="126"/>
      <c r="BJ285" s="126"/>
      <c r="BK285" s="126"/>
      <c r="BL285" s="126"/>
      <c r="BM285" s="126"/>
      <c r="BN285" s="126"/>
      <c r="BO285" s="126"/>
      <c r="BP285" s="126"/>
      <c r="BQ285" s="126"/>
      <c r="BR285" s="126"/>
      <c r="BS285" s="126"/>
      <c r="BT285" s="126"/>
      <c r="BU285" s="126"/>
      <c r="BV285" s="126"/>
      <c r="BW285" s="126"/>
      <c r="BX285" s="126"/>
      <c r="BY285" s="126"/>
      <c r="BZ285" s="126"/>
      <c r="CA285" s="126"/>
      <c r="CB285" s="126"/>
      <c r="CC285" s="126"/>
      <c r="CD285" s="126"/>
      <c r="CE285" s="126"/>
      <c r="CF285" s="126"/>
      <c r="CG285" s="126"/>
      <c r="CH285" s="126"/>
      <c r="CI285" s="126"/>
      <c r="CJ285" s="126"/>
      <c r="CK285" s="126"/>
    </row>
    <row r="286" spans="1:89" ht="9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  <c r="BF286" s="126"/>
      <c r="BG286" s="126"/>
      <c r="BH286" s="126"/>
      <c r="BI286" s="126"/>
      <c r="BJ286" s="126"/>
      <c r="BK286" s="126"/>
      <c r="BL286" s="126"/>
      <c r="BM286" s="126"/>
      <c r="BN286" s="126"/>
      <c r="BO286" s="126"/>
      <c r="BP286" s="126"/>
      <c r="BQ286" s="126"/>
      <c r="BR286" s="126"/>
      <c r="BS286" s="126"/>
      <c r="BT286" s="126"/>
      <c r="BU286" s="126"/>
      <c r="BV286" s="126"/>
      <c r="BW286" s="126"/>
      <c r="BX286" s="126"/>
      <c r="BY286" s="126"/>
      <c r="BZ286" s="126"/>
      <c r="CA286" s="126"/>
      <c r="CB286" s="126"/>
      <c r="CC286" s="126"/>
      <c r="CD286" s="126"/>
      <c r="CE286" s="126"/>
      <c r="CF286" s="126"/>
      <c r="CG286" s="126"/>
      <c r="CH286" s="126"/>
      <c r="CI286" s="126"/>
      <c r="CJ286" s="126"/>
      <c r="CK286" s="126"/>
    </row>
    <row r="287" spans="1:89" ht="9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  <c r="BL287" s="126"/>
      <c r="BM287" s="126"/>
      <c r="BN287" s="126"/>
      <c r="BO287" s="126"/>
      <c r="BP287" s="126"/>
      <c r="BQ287" s="126"/>
      <c r="BR287" s="126"/>
      <c r="BS287" s="126"/>
      <c r="BT287" s="126"/>
      <c r="BU287" s="126"/>
      <c r="BV287" s="126"/>
      <c r="BW287" s="126"/>
      <c r="BX287" s="126"/>
      <c r="BY287" s="126"/>
      <c r="BZ287" s="126"/>
      <c r="CA287" s="126"/>
      <c r="CB287" s="126"/>
      <c r="CC287" s="126"/>
      <c r="CD287" s="126"/>
      <c r="CE287" s="126"/>
      <c r="CF287" s="126"/>
      <c r="CG287" s="126"/>
      <c r="CH287" s="126"/>
      <c r="CI287" s="126"/>
      <c r="CJ287" s="126"/>
      <c r="CK287" s="126"/>
    </row>
    <row r="288" spans="1:89" ht="9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  <c r="BK288" s="126"/>
      <c r="BL288" s="126"/>
      <c r="BM288" s="126"/>
      <c r="BN288" s="126"/>
      <c r="BO288" s="126"/>
      <c r="BP288" s="126"/>
      <c r="BQ288" s="126"/>
      <c r="BR288" s="126"/>
      <c r="BS288" s="126"/>
      <c r="BT288" s="126"/>
      <c r="BU288" s="126"/>
      <c r="BV288" s="126"/>
      <c r="BW288" s="126"/>
      <c r="BX288" s="126"/>
      <c r="BY288" s="126"/>
      <c r="BZ288" s="126"/>
      <c r="CA288" s="126"/>
      <c r="CB288" s="126"/>
      <c r="CC288" s="126"/>
      <c r="CD288" s="126"/>
      <c r="CE288" s="126"/>
      <c r="CF288" s="126"/>
      <c r="CG288" s="126"/>
      <c r="CH288" s="126"/>
      <c r="CI288" s="126"/>
      <c r="CJ288" s="126"/>
      <c r="CK288" s="126"/>
    </row>
    <row r="289" spans="1:89" ht="9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  <c r="BF289" s="126"/>
      <c r="BG289" s="126"/>
      <c r="BH289" s="126"/>
      <c r="BI289" s="126"/>
      <c r="BJ289" s="126"/>
      <c r="BK289" s="126"/>
      <c r="BL289" s="126"/>
      <c r="BM289" s="126"/>
      <c r="BN289" s="126"/>
      <c r="BO289" s="126"/>
      <c r="BP289" s="126"/>
      <c r="BQ289" s="126"/>
      <c r="BR289" s="126"/>
      <c r="BS289" s="126"/>
      <c r="BT289" s="126"/>
      <c r="BU289" s="126"/>
      <c r="BV289" s="126"/>
      <c r="BW289" s="126"/>
      <c r="BX289" s="126"/>
      <c r="BY289" s="126"/>
      <c r="BZ289" s="126"/>
      <c r="CA289" s="126"/>
      <c r="CB289" s="126"/>
      <c r="CC289" s="126"/>
      <c r="CD289" s="126"/>
      <c r="CE289" s="126"/>
      <c r="CF289" s="126"/>
      <c r="CG289" s="126"/>
      <c r="CH289" s="126"/>
      <c r="CI289" s="126"/>
      <c r="CJ289" s="126"/>
      <c r="CK289" s="126"/>
    </row>
    <row r="290" spans="1:89" ht="9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  <c r="BF290" s="126"/>
      <c r="BG290" s="126"/>
      <c r="BH290" s="126"/>
      <c r="BI290" s="126"/>
      <c r="BJ290" s="126"/>
      <c r="BK290" s="126"/>
      <c r="BL290" s="126"/>
      <c r="BM290" s="126"/>
      <c r="BN290" s="126"/>
      <c r="BO290" s="126"/>
      <c r="BP290" s="126"/>
      <c r="BQ290" s="126"/>
      <c r="BR290" s="126"/>
      <c r="BS290" s="126"/>
      <c r="BT290" s="126"/>
      <c r="BU290" s="126"/>
      <c r="BV290" s="126"/>
      <c r="BW290" s="126"/>
      <c r="BX290" s="126"/>
      <c r="BY290" s="126"/>
      <c r="BZ290" s="126"/>
      <c r="CA290" s="126"/>
      <c r="CB290" s="126"/>
      <c r="CC290" s="126"/>
      <c r="CD290" s="126"/>
      <c r="CE290" s="126"/>
      <c r="CF290" s="126"/>
      <c r="CG290" s="126"/>
      <c r="CH290" s="126"/>
      <c r="CI290" s="126"/>
      <c r="CJ290" s="126"/>
      <c r="CK290" s="126"/>
    </row>
    <row r="291" spans="1:89" ht="9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  <c r="BK291" s="126"/>
      <c r="BL291" s="126"/>
      <c r="BM291" s="126"/>
      <c r="BN291" s="126"/>
      <c r="BO291" s="126"/>
      <c r="BP291" s="126"/>
      <c r="BQ291" s="126"/>
      <c r="BR291" s="126"/>
      <c r="BS291" s="126"/>
      <c r="BT291" s="126"/>
      <c r="BU291" s="126"/>
      <c r="BV291" s="126"/>
      <c r="BW291" s="126"/>
      <c r="BX291" s="126"/>
      <c r="BY291" s="126"/>
      <c r="BZ291" s="126"/>
      <c r="CA291" s="126"/>
      <c r="CB291" s="126"/>
      <c r="CC291" s="126"/>
      <c r="CD291" s="126"/>
      <c r="CE291" s="126"/>
      <c r="CF291" s="126"/>
      <c r="CG291" s="126"/>
      <c r="CH291" s="126"/>
      <c r="CI291" s="126"/>
      <c r="CJ291" s="126"/>
      <c r="CK291" s="126"/>
    </row>
    <row r="292" spans="1:89" ht="9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  <c r="BF292" s="126"/>
      <c r="BG292" s="126"/>
      <c r="BH292" s="126"/>
      <c r="BI292" s="126"/>
      <c r="BJ292" s="126"/>
      <c r="BK292" s="126"/>
      <c r="BL292" s="126"/>
      <c r="BM292" s="126"/>
      <c r="BN292" s="126"/>
      <c r="BO292" s="126"/>
      <c r="BP292" s="126"/>
      <c r="BQ292" s="126"/>
      <c r="BR292" s="126"/>
      <c r="BS292" s="126"/>
      <c r="BT292" s="126"/>
      <c r="BU292" s="126"/>
      <c r="BV292" s="126"/>
      <c r="BW292" s="126"/>
      <c r="BX292" s="126"/>
      <c r="BY292" s="126"/>
      <c r="BZ292" s="126"/>
      <c r="CA292" s="126"/>
      <c r="CB292" s="126"/>
      <c r="CC292" s="126"/>
      <c r="CD292" s="126"/>
      <c r="CE292" s="126"/>
      <c r="CF292" s="126"/>
      <c r="CG292" s="126"/>
      <c r="CH292" s="126"/>
      <c r="CI292" s="126"/>
      <c r="CJ292" s="126"/>
      <c r="CK292" s="126"/>
    </row>
    <row r="293" spans="1:89" ht="9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  <c r="BL293" s="126"/>
      <c r="BM293" s="126"/>
      <c r="BN293" s="126"/>
      <c r="BO293" s="126"/>
      <c r="BP293" s="126"/>
      <c r="BQ293" s="126"/>
      <c r="BR293" s="126"/>
      <c r="BS293" s="126"/>
      <c r="BT293" s="126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126"/>
      <c r="CG293" s="126"/>
      <c r="CH293" s="126"/>
      <c r="CI293" s="126"/>
      <c r="CJ293" s="126"/>
      <c r="CK293" s="126"/>
    </row>
    <row r="294" spans="1:89" ht="9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  <c r="BF294" s="126"/>
      <c r="BG294" s="126"/>
      <c r="BH294" s="126"/>
      <c r="BI294" s="126"/>
      <c r="BJ294" s="126"/>
      <c r="BK294" s="126"/>
      <c r="BL294" s="126"/>
      <c r="BM294" s="126"/>
      <c r="BN294" s="126"/>
      <c r="BO294" s="126"/>
      <c r="BP294" s="126"/>
      <c r="BQ294" s="126"/>
      <c r="BR294" s="126"/>
      <c r="BS294" s="126"/>
      <c r="BT294" s="126"/>
      <c r="BU294" s="126"/>
      <c r="BV294" s="126"/>
      <c r="BW294" s="126"/>
      <c r="BX294" s="126"/>
      <c r="BY294" s="126"/>
      <c r="BZ294" s="126"/>
      <c r="CA294" s="126"/>
      <c r="CB294" s="126"/>
      <c r="CC294" s="126"/>
      <c r="CD294" s="126"/>
      <c r="CE294" s="126"/>
      <c r="CF294" s="126"/>
      <c r="CG294" s="126"/>
      <c r="CH294" s="126"/>
      <c r="CI294" s="126"/>
      <c r="CJ294" s="126"/>
      <c r="CK294" s="126"/>
    </row>
    <row r="295" spans="1:89" ht="9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  <c r="BK295" s="126"/>
      <c r="BL295" s="126"/>
      <c r="BM295" s="126"/>
      <c r="BN295" s="126"/>
      <c r="BO295" s="126"/>
      <c r="BP295" s="126"/>
      <c r="BQ295" s="126"/>
      <c r="BR295" s="126"/>
      <c r="BS295" s="126"/>
      <c r="BT295" s="126"/>
      <c r="BU295" s="126"/>
      <c r="BV295" s="126"/>
      <c r="BW295" s="126"/>
      <c r="BX295" s="126"/>
      <c r="BY295" s="126"/>
      <c r="BZ295" s="126"/>
      <c r="CA295" s="126"/>
      <c r="CB295" s="126"/>
      <c r="CC295" s="126"/>
      <c r="CD295" s="126"/>
      <c r="CE295" s="126"/>
      <c r="CF295" s="126"/>
      <c r="CG295" s="126"/>
      <c r="CH295" s="126"/>
      <c r="CI295" s="126"/>
      <c r="CJ295" s="126"/>
      <c r="CK295" s="126"/>
    </row>
    <row r="296" spans="1:89" ht="9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  <c r="BF296" s="126"/>
      <c r="BG296" s="126"/>
      <c r="BH296" s="126"/>
      <c r="BI296" s="126"/>
      <c r="BJ296" s="126"/>
      <c r="BK296" s="126"/>
      <c r="BL296" s="126"/>
      <c r="BM296" s="126"/>
      <c r="BN296" s="126"/>
      <c r="BO296" s="126"/>
      <c r="BP296" s="126"/>
      <c r="BQ296" s="126"/>
      <c r="BR296" s="126"/>
      <c r="BS296" s="126"/>
      <c r="BT296" s="126"/>
      <c r="BU296" s="126"/>
      <c r="BV296" s="126"/>
      <c r="BW296" s="126"/>
      <c r="BX296" s="126"/>
      <c r="BY296" s="126"/>
      <c r="BZ296" s="126"/>
      <c r="CA296" s="126"/>
      <c r="CB296" s="126"/>
      <c r="CC296" s="126"/>
      <c r="CD296" s="126"/>
      <c r="CE296" s="126"/>
      <c r="CF296" s="126"/>
      <c r="CG296" s="126"/>
      <c r="CH296" s="126"/>
      <c r="CI296" s="126"/>
      <c r="CJ296" s="126"/>
      <c r="CK296" s="126"/>
    </row>
    <row r="297" spans="1:89" ht="9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  <c r="BL297" s="126"/>
      <c r="BM297" s="126"/>
      <c r="BN297" s="126"/>
      <c r="BO297" s="126"/>
      <c r="BP297" s="126"/>
      <c r="BQ297" s="126"/>
      <c r="BR297" s="126"/>
      <c r="BS297" s="126"/>
      <c r="BT297" s="126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126"/>
      <c r="CG297" s="126"/>
      <c r="CH297" s="126"/>
      <c r="CI297" s="126"/>
      <c r="CJ297" s="126"/>
      <c r="CK297" s="126"/>
    </row>
    <row r="298" spans="1:89" ht="9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  <c r="BF298" s="126"/>
      <c r="BG298" s="126"/>
      <c r="BH298" s="126"/>
      <c r="BI298" s="126"/>
      <c r="BJ298" s="126"/>
      <c r="BK298" s="126"/>
      <c r="BL298" s="126"/>
      <c r="BM298" s="126"/>
      <c r="BN298" s="126"/>
      <c r="BO298" s="126"/>
      <c r="BP298" s="126"/>
      <c r="BQ298" s="126"/>
      <c r="BR298" s="126"/>
      <c r="BS298" s="126"/>
      <c r="BT298" s="126"/>
      <c r="BU298" s="126"/>
      <c r="BV298" s="126"/>
      <c r="BW298" s="126"/>
      <c r="BX298" s="126"/>
      <c r="BY298" s="126"/>
      <c r="BZ298" s="126"/>
      <c r="CA298" s="126"/>
      <c r="CB298" s="126"/>
      <c r="CC298" s="126"/>
      <c r="CD298" s="126"/>
      <c r="CE298" s="126"/>
      <c r="CF298" s="126"/>
      <c r="CG298" s="126"/>
      <c r="CH298" s="126"/>
      <c r="CI298" s="126"/>
      <c r="CJ298" s="126"/>
      <c r="CK298" s="126"/>
    </row>
    <row r="299" spans="1:89" ht="9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  <c r="BF299" s="126"/>
      <c r="BG299" s="126"/>
      <c r="BH299" s="126"/>
      <c r="BI299" s="126"/>
      <c r="BJ299" s="126"/>
      <c r="BK299" s="126"/>
      <c r="BL299" s="126"/>
      <c r="BM299" s="126"/>
      <c r="BN299" s="126"/>
      <c r="BO299" s="126"/>
      <c r="BP299" s="126"/>
      <c r="BQ299" s="126"/>
      <c r="BR299" s="126"/>
      <c r="BS299" s="126"/>
      <c r="BT299" s="126"/>
      <c r="BU299" s="126"/>
      <c r="BV299" s="126"/>
      <c r="BW299" s="126"/>
      <c r="BX299" s="126"/>
      <c r="BY299" s="126"/>
      <c r="BZ299" s="126"/>
      <c r="CA299" s="126"/>
      <c r="CB299" s="126"/>
      <c r="CC299" s="126"/>
      <c r="CD299" s="126"/>
      <c r="CE299" s="126"/>
      <c r="CF299" s="126"/>
      <c r="CG299" s="126"/>
      <c r="CH299" s="126"/>
      <c r="CI299" s="126"/>
      <c r="CJ299" s="126"/>
      <c r="CK299" s="126"/>
    </row>
    <row r="300" spans="1:89" ht="9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  <c r="BF300" s="126"/>
      <c r="BG300" s="126"/>
      <c r="BH300" s="126"/>
      <c r="BI300" s="126"/>
      <c r="BJ300" s="126"/>
      <c r="BK300" s="126"/>
      <c r="BL300" s="126"/>
      <c r="BM300" s="126"/>
      <c r="BN300" s="126"/>
      <c r="BO300" s="126"/>
      <c r="BP300" s="126"/>
      <c r="BQ300" s="126"/>
      <c r="BR300" s="126"/>
      <c r="BS300" s="126"/>
      <c r="BT300" s="126"/>
      <c r="BU300" s="126"/>
      <c r="BV300" s="126"/>
      <c r="BW300" s="126"/>
      <c r="BX300" s="126"/>
      <c r="BY300" s="126"/>
      <c r="BZ300" s="126"/>
      <c r="CA300" s="126"/>
      <c r="CB300" s="126"/>
      <c r="CC300" s="126"/>
      <c r="CD300" s="126"/>
      <c r="CE300" s="126"/>
      <c r="CF300" s="126"/>
      <c r="CG300" s="126"/>
      <c r="CH300" s="126"/>
      <c r="CI300" s="126"/>
      <c r="CJ300" s="126"/>
      <c r="CK300" s="126"/>
    </row>
    <row r="301" spans="1:89" ht="9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  <c r="BK301" s="126"/>
      <c r="BL301" s="126"/>
      <c r="BM301" s="126"/>
      <c r="BN301" s="126"/>
      <c r="BO301" s="126"/>
      <c r="BP301" s="126"/>
      <c r="BQ301" s="126"/>
      <c r="BR301" s="126"/>
      <c r="BS301" s="126"/>
      <c r="BT301" s="126"/>
      <c r="BU301" s="126"/>
      <c r="BV301" s="126"/>
      <c r="BW301" s="126"/>
      <c r="BX301" s="126"/>
      <c r="BY301" s="126"/>
      <c r="BZ301" s="126"/>
      <c r="CA301" s="126"/>
      <c r="CB301" s="126"/>
      <c r="CC301" s="126"/>
      <c r="CD301" s="126"/>
      <c r="CE301" s="126"/>
      <c r="CF301" s="126"/>
      <c r="CG301" s="126"/>
      <c r="CH301" s="126"/>
      <c r="CI301" s="126"/>
      <c r="CJ301" s="126"/>
      <c r="CK301" s="126"/>
    </row>
    <row r="302" spans="1:89" ht="9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  <c r="BF302" s="126"/>
      <c r="BG302" s="126"/>
      <c r="BH302" s="126"/>
      <c r="BI302" s="126"/>
      <c r="BJ302" s="126"/>
      <c r="BK302" s="126"/>
      <c r="BL302" s="126"/>
      <c r="BM302" s="126"/>
      <c r="BN302" s="126"/>
      <c r="BO302" s="126"/>
      <c r="BP302" s="126"/>
      <c r="BQ302" s="126"/>
      <c r="BR302" s="126"/>
      <c r="BS302" s="126"/>
      <c r="BT302" s="126"/>
      <c r="BU302" s="126"/>
      <c r="BV302" s="126"/>
      <c r="BW302" s="126"/>
      <c r="BX302" s="126"/>
      <c r="BY302" s="126"/>
      <c r="BZ302" s="126"/>
      <c r="CA302" s="126"/>
      <c r="CB302" s="126"/>
      <c r="CC302" s="126"/>
      <c r="CD302" s="126"/>
      <c r="CE302" s="126"/>
      <c r="CF302" s="126"/>
      <c r="CG302" s="126"/>
      <c r="CH302" s="126"/>
      <c r="CI302" s="126"/>
      <c r="CJ302" s="126"/>
      <c r="CK302" s="126"/>
    </row>
    <row r="303" spans="1:89" ht="9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  <c r="BF303" s="126"/>
      <c r="BG303" s="126"/>
      <c r="BH303" s="126"/>
      <c r="BI303" s="126"/>
      <c r="BJ303" s="126"/>
      <c r="BK303" s="126"/>
      <c r="BL303" s="126"/>
      <c r="BM303" s="126"/>
      <c r="BN303" s="126"/>
      <c r="BO303" s="126"/>
      <c r="BP303" s="126"/>
      <c r="BQ303" s="126"/>
      <c r="BR303" s="126"/>
      <c r="BS303" s="126"/>
      <c r="BT303" s="126"/>
      <c r="BU303" s="126"/>
      <c r="BV303" s="126"/>
      <c r="BW303" s="126"/>
      <c r="BX303" s="126"/>
      <c r="BY303" s="126"/>
      <c r="BZ303" s="126"/>
      <c r="CA303" s="126"/>
      <c r="CB303" s="126"/>
      <c r="CC303" s="126"/>
      <c r="CD303" s="126"/>
      <c r="CE303" s="126"/>
      <c r="CF303" s="126"/>
      <c r="CG303" s="126"/>
      <c r="CH303" s="126"/>
      <c r="CI303" s="126"/>
      <c r="CJ303" s="126"/>
      <c r="CK303" s="126"/>
    </row>
    <row r="304" spans="1:89" ht="9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  <c r="BD304" s="126"/>
      <c r="BE304" s="126"/>
      <c r="BF304" s="126"/>
      <c r="BG304" s="126"/>
      <c r="BH304" s="126"/>
      <c r="BI304" s="126"/>
      <c r="BJ304" s="126"/>
      <c r="BK304" s="126"/>
      <c r="BL304" s="126"/>
      <c r="BM304" s="126"/>
      <c r="BN304" s="126"/>
      <c r="BO304" s="126"/>
      <c r="BP304" s="126"/>
      <c r="BQ304" s="126"/>
      <c r="BR304" s="126"/>
      <c r="BS304" s="126"/>
      <c r="BT304" s="126"/>
      <c r="BU304" s="126"/>
      <c r="BV304" s="126"/>
      <c r="BW304" s="126"/>
      <c r="BX304" s="126"/>
      <c r="BY304" s="126"/>
      <c r="BZ304" s="126"/>
      <c r="CA304" s="126"/>
      <c r="CB304" s="126"/>
      <c r="CC304" s="126"/>
      <c r="CD304" s="126"/>
      <c r="CE304" s="126"/>
      <c r="CF304" s="126"/>
      <c r="CG304" s="126"/>
      <c r="CH304" s="126"/>
      <c r="CI304" s="126"/>
      <c r="CJ304" s="126"/>
      <c r="CK304" s="126"/>
    </row>
    <row r="305" spans="1:89" ht="9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  <c r="BD305" s="126"/>
      <c r="BE305" s="126"/>
      <c r="BF305" s="126"/>
      <c r="BG305" s="126"/>
      <c r="BH305" s="126"/>
      <c r="BI305" s="126"/>
      <c r="BJ305" s="126"/>
      <c r="BK305" s="126"/>
      <c r="BL305" s="126"/>
      <c r="BM305" s="126"/>
      <c r="BN305" s="126"/>
      <c r="BO305" s="126"/>
      <c r="BP305" s="126"/>
      <c r="BQ305" s="126"/>
      <c r="BR305" s="126"/>
      <c r="BS305" s="126"/>
      <c r="BT305" s="126"/>
      <c r="BU305" s="126"/>
      <c r="BV305" s="126"/>
      <c r="BW305" s="126"/>
      <c r="BX305" s="126"/>
      <c r="BY305" s="126"/>
      <c r="BZ305" s="126"/>
      <c r="CA305" s="126"/>
      <c r="CB305" s="126"/>
      <c r="CC305" s="126"/>
      <c r="CD305" s="126"/>
      <c r="CE305" s="126"/>
      <c r="CF305" s="126"/>
      <c r="CG305" s="126"/>
      <c r="CH305" s="126"/>
      <c r="CI305" s="126"/>
      <c r="CJ305" s="126"/>
      <c r="CK305" s="126"/>
    </row>
    <row r="306" spans="1:89" ht="9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  <c r="BD306" s="126"/>
      <c r="BE306" s="126"/>
      <c r="BF306" s="126"/>
      <c r="BG306" s="126"/>
      <c r="BH306" s="126"/>
      <c r="BI306" s="126"/>
      <c r="BJ306" s="126"/>
      <c r="BK306" s="126"/>
      <c r="BL306" s="126"/>
      <c r="BM306" s="126"/>
      <c r="BN306" s="126"/>
      <c r="BO306" s="126"/>
      <c r="BP306" s="126"/>
      <c r="BQ306" s="126"/>
      <c r="BR306" s="126"/>
      <c r="BS306" s="126"/>
      <c r="BT306" s="126"/>
      <c r="BU306" s="126"/>
      <c r="BV306" s="126"/>
      <c r="BW306" s="126"/>
      <c r="BX306" s="126"/>
      <c r="BY306" s="126"/>
      <c r="BZ306" s="126"/>
      <c r="CA306" s="126"/>
      <c r="CB306" s="126"/>
      <c r="CC306" s="126"/>
      <c r="CD306" s="126"/>
      <c r="CE306" s="126"/>
      <c r="CF306" s="126"/>
      <c r="CG306" s="126"/>
      <c r="CH306" s="126"/>
      <c r="CI306" s="126"/>
      <c r="CJ306" s="126"/>
      <c r="CK306" s="126"/>
    </row>
    <row r="307" spans="1:89" ht="9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  <c r="BD307" s="126"/>
      <c r="BE307" s="126"/>
      <c r="BF307" s="126"/>
      <c r="BG307" s="126"/>
      <c r="BH307" s="126"/>
      <c r="BI307" s="126"/>
      <c r="BJ307" s="126"/>
      <c r="BK307" s="126"/>
      <c r="BL307" s="126"/>
      <c r="BM307" s="126"/>
      <c r="BN307" s="126"/>
      <c r="BO307" s="126"/>
      <c r="BP307" s="126"/>
      <c r="BQ307" s="126"/>
      <c r="BR307" s="126"/>
      <c r="BS307" s="126"/>
      <c r="BT307" s="126"/>
      <c r="BU307" s="126"/>
      <c r="BV307" s="126"/>
      <c r="BW307" s="126"/>
      <c r="BX307" s="126"/>
      <c r="BY307" s="126"/>
      <c r="BZ307" s="126"/>
      <c r="CA307" s="126"/>
      <c r="CB307" s="126"/>
      <c r="CC307" s="126"/>
      <c r="CD307" s="126"/>
      <c r="CE307" s="126"/>
      <c r="CF307" s="126"/>
      <c r="CG307" s="126"/>
      <c r="CH307" s="126"/>
      <c r="CI307" s="126"/>
      <c r="CJ307" s="126"/>
      <c r="CK307" s="126"/>
    </row>
    <row r="308" spans="1:89" ht="9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  <c r="BF308" s="126"/>
      <c r="BG308" s="126"/>
      <c r="BH308" s="126"/>
      <c r="BI308" s="126"/>
      <c r="BJ308" s="126"/>
      <c r="BK308" s="126"/>
      <c r="BL308" s="126"/>
      <c r="BM308" s="126"/>
      <c r="BN308" s="126"/>
      <c r="BO308" s="126"/>
      <c r="BP308" s="126"/>
      <c r="BQ308" s="126"/>
      <c r="BR308" s="126"/>
      <c r="BS308" s="126"/>
      <c r="BT308" s="126"/>
      <c r="BU308" s="126"/>
      <c r="BV308" s="126"/>
      <c r="BW308" s="126"/>
      <c r="BX308" s="126"/>
      <c r="BY308" s="126"/>
      <c r="BZ308" s="126"/>
      <c r="CA308" s="126"/>
      <c r="CB308" s="126"/>
      <c r="CC308" s="126"/>
      <c r="CD308" s="126"/>
      <c r="CE308" s="126"/>
      <c r="CF308" s="126"/>
      <c r="CG308" s="126"/>
      <c r="CH308" s="126"/>
      <c r="CI308" s="126"/>
      <c r="CJ308" s="126"/>
      <c r="CK308" s="126"/>
    </row>
    <row r="309" spans="1:89" ht="9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  <c r="BD309" s="126"/>
      <c r="BE309" s="126"/>
      <c r="BF309" s="126"/>
      <c r="BG309" s="126"/>
      <c r="BH309" s="126"/>
      <c r="BI309" s="126"/>
      <c r="BJ309" s="126"/>
      <c r="BK309" s="126"/>
      <c r="BL309" s="126"/>
      <c r="BM309" s="126"/>
      <c r="BN309" s="126"/>
      <c r="BO309" s="126"/>
      <c r="BP309" s="126"/>
      <c r="BQ309" s="126"/>
      <c r="BR309" s="126"/>
      <c r="BS309" s="126"/>
      <c r="BT309" s="126"/>
      <c r="BU309" s="126"/>
      <c r="BV309" s="126"/>
      <c r="BW309" s="126"/>
      <c r="BX309" s="126"/>
      <c r="BY309" s="126"/>
      <c r="BZ309" s="126"/>
      <c r="CA309" s="126"/>
      <c r="CB309" s="126"/>
      <c r="CC309" s="126"/>
      <c r="CD309" s="126"/>
      <c r="CE309" s="126"/>
      <c r="CF309" s="126"/>
      <c r="CG309" s="126"/>
      <c r="CH309" s="126"/>
      <c r="CI309" s="126"/>
      <c r="CJ309" s="126"/>
      <c r="CK309" s="126"/>
    </row>
    <row r="310" spans="1:89" ht="9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  <c r="BF310" s="126"/>
      <c r="BG310" s="126"/>
      <c r="BH310" s="126"/>
      <c r="BI310" s="126"/>
      <c r="BJ310" s="126"/>
      <c r="BK310" s="126"/>
      <c r="BL310" s="126"/>
      <c r="BM310" s="126"/>
      <c r="BN310" s="126"/>
      <c r="BO310" s="126"/>
      <c r="BP310" s="126"/>
      <c r="BQ310" s="126"/>
      <c r="BR310" s="126"/>
      <c r="BS310" s="126"/>
      <c r="BT310" s="126"/>
      <c r="BU310" s="126"/>
      <c r="BV310" s="126"/>
      <c r="BW310" s="126"/>
      <c r="BX310" s="126"/>
      <c r="BY310" s="126"/>
      <c r="BZ310" s="126"/>
      <c r="CA310" s="126"/>
      <c r="CB310" s="126"/>
      <c r="CC310" s="126"/>
      <c r="CD310" s="126"/>
      <c r="CE310" s="126"/>
      <c r="CF310" s="126"/>
      <c r="CG310" s="126"/>
      <c r="CH310" s="126"/>
      <c r="CI310" s="126"/>
      <c r="CJ310" s="126"/>
      <c r="CK310" s="126"/>
    </row>
    <row r="311" spans="1:89" ht="9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  <c r="BD311" s="126"/>
      <c r="BE311" s="126"/>
      <c r="BF311" s="126"/>
      <c r="BG311" s="126"/>
      <c r="BH311" s="126"/>
      <c r="BI311" s="126"/>
      <c r="BJ311" s="126"/>
      <c r="BK311" s="126"/>
      <c r="BL311" s="126"/>
      <c r="BM311" s="126"/>
      <c r="BN311" s="126"/>
      <c r="BO311" s="126"/>
      <c r="BP311" s="126"/>
      <c r="BQ311" s="126"/>
      <c r="BR311" s="126"/>
      <c r="BS311" s="126"/>
      <c r="BT311" s="126"/>
      <c r="BU311" s="126"/>
      <c r="BV311" s="126"/>
      <c r="BW311" s="126"/>
      <c r="BX311" s="126"/>
      <c r="BY311" s="126"/>
      <c r="BZ311" s="126"/>
      <c r="CA311" s="126"/>
      <c r="CB311" s="126"/>
      <c r="CC311" s="126"/>
      <c r="CD311" s="126"/>
      <c r="CE311" s="126"/>
      <c r="CF311" s="126"/>
      <c r="CG311" s="126"/>
      <c r="CH311" s="126"/>
      <c r="CI311" s="126"/>
      <c r="CJ311" s="126"/>
      <c r="CK311" s="126"/>
    </row>
    <row r="312" spans="1:89" ht="9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  <c r="BD312" s="126"/>
      <c r="BE312" s="126"/>
      <c r="BF312" s="126"/>
      <c r="BG312" s="126"/>
      <c r="BH312" s="126"/>
      <c r="BI312" s="126"/>
      <c r="BJ312" s="126"/>
      <c r="BK312" s="126"/>
      <c r="BL312" s="126"/>
      <c r="BM312" s="126"/>
      <c r="BN312" s="126"/>
      <c r="BO312" s="126"/>
      <c r="BP312" s="126"/>
      <c r="BQ312" s="126"/>
      <c r="BR312" s="126"/>
      <c r="BS312" s="126"/>
      <c r="BT312" s="126"/>
      <c r="BU312" s="126"/>
      <c r="BV312" s="126"/>
      <c r="BW312" s="126"/>
      <c r="BX312" s="126"/>
      <c r="BY312" s="126"/>
      <c r="BZ312" s="126"/>
      <c r="CA312" s="126"/>
      <c r="CB312" s="126"/>
      <c r="CC312" s="126"/>
      <c r="CD312" s="126"/>
      <c r="CE312" s="126"/>
      <c r="CF312" s="126"/>
      <c r="CG312" s="126"/>
      <c r="CH312" s="126"/>
      <c r="CI312" s="126"/>
      <c r="CJ312" s="126"/>
      <c r="CK312" s="126"/>
    </row>
    <row r="313" spans="1:89" ht="9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  <c r="BD313" s="126"/>
      <c r="BE313" s="126"/>
      <c r="BF313" s="126"/>
      <c r="BG313" s="126"/>
      <c r="BH313" s="126"/>
      <c r="BI313" s="126"/>
      <c r="BJ313" s="126"/>
      <c r="BK313" s="126"/>
      <c r="BL313" s="126"/>
      <c r="BM313" s="126"/>
      <c r="BN313" s="126"/>
      <c r="BO313" s="126"/>
      <c r="BP313" s="126"/>
      <c r="BQ313" s="126"/>
      <c r="BR313" s="126"/>
      <c r="BS313" s="126"/>
      <c r="BT313" s="126"/>
      <c r="BU313" s="126"/>
      <c r="BV313" s="126"/>
      <c r="BW313" s="126"/>
      <c r="BX313" s="126"/>
      <c r="BY313" s="126"/>
      <c r="BZ313" s="126"/>
      <c r="CA313" s="126"/>
      <c r="CB313" s="126"/>
      <c r="CC313" s="126"/>
      <c r="CD313" s="126"/>
      <c r="CE313" s="126"/>
      <c r="CF313" s="126"/>
      <c r="CG313" s="126"/>
      <c r="CH313" s="126"/>
      <c r="CI313" s="126"/>
      <c r="CJ313" s="126"/>
      <c r="CK313" s="126"/>
    </row>
    <row r="314" spans="1:89" ht="9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  <c r="BD314" s="126"/>
      <c r="BE314" s="126"/>
      <c r="BF314" s="126"/>
      <c r="BG314" s="126"/>
      <c r="BH314" s="126"/>
      <c r="BI314" s="126"/>
      <c r="BJ314" s="126"/>
      <c r="BK314" s="126"/>
      <c r="BL314" s="126"/>
      <c r="BM314" s="126"/>
      <c r="BN314" s="126"/>
      <c r="BO314" s="126"/>
      <c r="BP314" s="126"/>
      <c r="BQ314" s="126"/>
      <c r="BR314" s="126"/>
      <c r="BS314" s="126"/>
      <c r="BT314" s="126"/>
      <c r="BU314" s="126"/>
      <c r="BV314" s="126"/>
      <c r="BW314" s="126"/>
      <c r="BX314" s="126"/>
      <c r="BY314" s="126"/>
      <c r="BZ314" s="126"/>
      <c r="CA314" s="126"/>
      <c r="CB314" s="126"/>
      <c r="CC314" s="126"/>
      <c r="CD314" s="126"/>
      <c r="CE314" s="126"/>
      <c r="CF314" s="126"/>
      <c r="CG314" s="126"/>
      <c r="CH314" s="126"/>
      <c r="CI314" s="126"/>
      <c r="CJ314" s="126"/>
      <c r="CK314" s="126"/>
    </row>
    <row r="315" spans="1:89" ht="9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  <c r="BD315" s="126"/>
      <c r="BE315" s="126"/>
      <c r="BF315" s="126"/>
      <c r="BG315" s="126"/>
      <c r="BH315" s="126"/>
      <c r="BI315" s="126"/>
      <c r="BJ315" s="126"/>
      <c r="BK315" s="126"/>
      <c r="BL315" s="126"/>
      <c r="BM315" s="126"/>
      <c r="BN315" s="126"/>
      <c r="BO315" s="126"/>
      <c r="BP315" s="126"/>
      <c r="BQ315" s="126"/>
      <c r="BR315" s="126"/>
      <c r="BS315" s="126"/>
      <c r="BT315" s="126"/>
      <c r="BU315" s="126"/>
      <c r="BV315" s="126"/>
      <c r="BW315" s="126"/>
      <c r="BX315" s="126"/>
      <c r="BY315" s="126"/>
      <c r="BZ315" s="126"/>
      <c r="CA315" s="126"/>
      <c r="CB315" s="126"/>
      <c r="CC315" s="126"/>
      <c r="CD315" s="126"/>
      <c r="CE315" s="126"/>
      <c r="CF315" s="126"/>
      <c r="CG315" s="126"/>
      <c r="CH315" s="126"/>
      <c r="CI315" s="126"/>
      <c r="CJ315" s="126"/>
      <c r="CK315" s="126"/>
    </row>
    <row r="316" spans="1:89" ht="9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  <c r="BD316" s="126"/>
      <c r="BE316" s="126"/>
      <c r="BF316" s="126"/>
      <c r="BG316" s="126"/>
      <c r="BH316" s="126"/>
      <c r="BI316" s="126"/>
      <c r="BJ316" s="126"/>
      <c r="BK316" s="126"/>
      <c r="BL316" s="126"/>
      <c r="BM316" s="126"/>
      <c r="BN316" s="126"/>
      <c r="BO316" s="126"/>
      <c r="BP316" s="126"/>
      <c r="BQ316" s="126"/>
      <c r="BR316" s="126"/>
      <c r="BS316" s="126"/>
      <c r="BT316" s="126"/>
      <c r="BU316" s="126"/>
      <c r="BV316" s="126"/>
      <c r="BW316" s="126"/>
      <c r="BX316" s="126"/>
      <c r="BY316" s="126"/>
      <c r="BZ316" s="126"/>
      <c r="CA316" s="126"/>
      <c r="CB316" s="126"/>
      <c r="CC316" s="126"/>
      <c r="CD316" s="126"/>
      <c r="CE316" s="126"/>
      <c r="CF316" s="126"/>
      <c r="CG316" s="126"/>
      <c r="CH316" s="126"/>
      <c r="CI316" s="126"/>
      <c r="CJ316" s="126"/>
      <c r="CK316" s="126"/>
    </row>
    <row r="317" spans="1:89" ht="9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  <c r="BD317" s="126"/>
      <c r="BE317" s="126"/>
      <c r="BF317" s="126"/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  <c r="BQ317" s="126"/>
      <c r="BR317" s="126"/>
      <c r="BS317" s="126"/>
      <c r="BT317" s="126"/>
      <c r="BU317" s="126"/>
      <c r="BV317" s="126"/>
      <c r="BW317" s="126"/>
      <c r="BX317" s="126"/>
      <c r="BY317" s="126"/>
      <c r="BZ317" s="126"/>
      <c r="CA317" s="126"/>
      <c r="CB317" s="126"/>
      <c r="CC317" s="126"/>
      <c r="CD317" s="126"/>
      <c r="CE317" s="126"/>
      <c r="CF317" s="126"/>
      <c r="CG317" s="126"/>
      <c r="CH317" s="126"/>
      <c r="CI317" s="126"/>
      <c r="CJ317" s="126"/>
      <c r="CK317" s="126"/>
    </row>
    <row r="318" spans="1:89" ht="9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  <c r="BD318" s="126"/>
      <c r="BE318" s="126"/>
      <c r="BF318" s="126"/>
      <c r="BG318" s="126"/>
      <c r="BH318" s="126"/>
      <c r="BI318" s="126"/>
      <c r="BJ318" s="126"/>
      <c r="BK318" s="126"/>
      <c r="BL318" s="126"/>
      <c r="BM318" s="126"/>
      <c r="BN318" s="126"/>
      <c r="BO318" s="126"/>
      <c r="BP318" s="126"/>
      <c r="BQ318" s="126"/>
      <c r="BR318" s="126"/>
      <c r="BS318" s="126"/>
      <c r="BT318" s="126"/>
      <c r="BU318" s="126"/>
      <c r="BV318" s="126"/>
      <c r="BW318" s="126"/>
      <c r="BX318" s="126"/>
      <c r="BY318" s="126"/>
      <c r="BZ318" s="126"/>
      <c r="CA318" s="126"/>
      <c r="CB318" s="126"/>
      <c r="CC318" s="126"/>
      <c r="CD318" s="126"/>
      <c r="CE318" s="126"/>
      <c r="CF318" s="126"/>
      <c r="CG318" s="126"/>
      <c r="CH318" s="126"/>
      <c r="CI318" s="126"/>
      <c r="CJ318" s="126"/>
      <c r="CK318" s="126"/>
    </row>
    <row r="319" spans="1:89" ht="9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  <c r="BD319" s="126"/>
      <c r="BE319" s="126"/>
      <c r="BF319" s="126"/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  <c r="BQ319" s="126"/>
      <c r="BR319" s="126"/>
      <c r="BS319" s="126"/>
      <c r="BT319" s="126"/>
      <c r="BU319" s="126"/>
      <c r="BV319" s="126"/>
      <c r="BW319" s="126"/>
      <c r="BX319" s="126"/>
      <c r="BY319" s="126"/>
      <c r="BZ319" s="126"/>
      <c r="CA319" s="126"/>
      <c r="CB319" s="126"/>
      <c r="CC319" s="126"/>
      <c r="CD319" s="126"/>
      <c r="CE319" s="126"/>
      <c r="CF319" s="126"/>
      <c r="CG319" s="126"/>
      <c r="CH319" s="126"/>
      <c r="CI319" s="126"/>
      <c r="CJ319" s="126"/>
      <c r="CK319" s="126"/>
    </row>
    <row r="320" spans="1:89" ht="9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  <c r="BD320" s="126"/>
      <c r="BE320" s="126"/>
      <c r="BF320" s="126"/>
      <c r="BG320" s="126"/>
      <c r="BH320" s="126"/>
      <c r="BI320" s="126"/>
      <c r="BJ320" s="126"/>
      <c r="BK320" s="126"/>
      <c r="BL320" s="126"/>
      <c r="BM320" s="126"/>
      <c r="BN320" s="126"/>
      <c r="BO320" s="126"/>
      <c r="BP320" s="126"/>
      <c r="BQ320" s="126"/>
      <c r="BR320" s="126"/>
      <c r="BS320" s="126"/>
      <c r="BT320" s="126"/>
      <c r="BU320" s="126"/>
      <c r="BV320" s="126"/>
      <c r="BW320" s="126"/>
      <c r="BX320" s="126"/>
      <c r="BY320" s="126"/>
      <c r="BZ320" s="126"/>
      <c r="CA320" s="126"/>
      <c r="CB320" s="126"/>
      <c r="CC320" s="126"/>
      <c r="CD320" s="126"/>
      <c r="CE320" s="126"/>
      <c r="CF320" s="126"/>
      <c r="CG320" s="126"/>
      <c r="CH320" s="126"/>
      <c r="CI320" s="126"/>
      <c r="CJ320" s="126"/>
      <c r="CK320" s="126"/>
    </row>
    <row r="321" spans="1:89" ht="9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  <c r="BD321" s="126"/>
      <c r="BE321" s="126"/>
      <c r="BF321" s="126"/>
      <c r="BG321" s="126"/>
      <c r="BH321" s="126"/>
      <c r="BI321" s="126"/>
      <c r="BJ321" s="126"/>
      <c r="BK321" s="126"/>
      <c r="BL321" s="126"/>
      <c r="BM321" s="126"/>
      <c r="BN321" s="126"/>
      <c r="BO321" s="126"/>
      <c r="BP321" s="126"/>
      <c r="BQ321" s="126"/>
      <c r="BR321" s="126"/>
      <c r="BS321" s="126"/>
      <c r="BT321" s="126"/>
      <c r="BU321" s="126"/>
      <c r="BV321" s="126"/>
      <c r="BW321" s="126"/>
      <c r="BX321" s="126"/>
      <c r="BY321" s="126"/>
      <c r="BZ321" s="126"/>
      <c r="CA321" s="126"/>
      <c r="CB321" s="126"/>
      <c r="CC321" s="126"/>
      <c r="CD321" s="126"/>
      <c r="CE321" s="126"/>
      <c r="CF321" s="126"/>
      <c r="CG321" s="126"/>
      <c r="CH321" s="126"/>
      <c r="CI321" s="126"/>
      <c r="CJ321" s="126"/>
      <c r="CK321" s="126"/>
    </row>
    <row r="322" spans="1:89" ht="9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  <c r="BD322" s="126"/>
      <c r="BE322" s="126"/>
      <c r="BF322" s="126"/>
      <c r="BG322" s="126"/>
      <c r="BH322" s="126"/>
      <c r="BI322" s="126"/>
      <c r="BJ322" s="126"/>
      <c r="BK322" s="126"/>
      <c r="BL322" s="126"/>
      <c r="BM322" s="126"/>
      <c r="BN322" s="126"/>
      <c r="BO322" s="126"/>
      <c r="BP322" s="126"/>
      <c r="BQ322" s="126"/>
      <c r="BR322" s="126"/>
      <c r="BS322" s="126"/>
      <c r="BT322" s="126"/>
      <c r="BU322" s="126"/>
      <c r="BV322" s="126"/>
      <c r="BW322" s="126"/>
      <c r="BX322" s="126"/>
      <c r="BY322" s="126"/>
      <c r="BZ322" s="126"/>
      <c r="CA322" s="126"/>
      <c r="CB322" s="126"/>
      <c r="CC322" s="126"/>
      <c r="CD322" s="126"/>
      <c r="CE322" s="126"/>
      <c r="CF322" s="126"/>
      <c r="CG322" s="126"/>
      <c r="CH322" s="126"/>
      <c r="CI322" s="126"/>
      <c r="CJ322" s="126"/>
      <c r="CK322" s="126"/>
    </row>
    <row r="323" spans="1:89" ht="9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  <c r="BD323" s="126"/>
      <c r="BE323" s="126"/>
      <c r="BF323" s="126"/>
      <c r="BG323" s="126"/>
      <c r="BH323" s="126"/>
      <c r="BI323" s="126"/>
      <c r="BJ323" s="126"/>
      <c r="BK323" s="126"/>
      <c r="BL323" s="126"/>
      <c r="BM323" s="126"/>
      <c r="BN323" s="126"/>
      <c r="BO323" s="126"/>
      <c r="BP323" s="126"/>
      <c r="BQ323" s="126"/>
      <c r="BR323" s="126"/>
      <c r="BS323" s="126"/>
      <c r="BT323" s="126"/>
      <c r="BU323" s="126"/>
      <c r="BV323" s="126"/>
      <c r="BW323" s="126"/>
      <c r="BX323" s="126"/>
      <c r="BY323" s="126"/>
      <c r="BZ323" s="126"/>
      <c r="CA323" s="126"/>
      <c r="CB323" s="126"/>
      <c r="CC323" s="126"/>
      <c r="CD323" s="126"/>
      <c r="CE323" s="126"/>
      <c r="CF323" s="126"/>
      <c r="CG323" s="126"/>
      <c r="CH323" s="126"/>
      <c r="CI323" s="126"/>
      <c r="CJ323" s="126"/>
      <c r="CK323" s="126"/>
    </row>
    <row r="324" spans="1:89" ht="9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  <c r="BD324" s="126"/>
      <c r="BE324" s="126"/>
      <c r="BF324" s="126"/>
      <c r="BG324" s="126"/>
      <c r="BH324" s="126"/>
      <c r="BI324" s="126"/>
      <c r="BJ324" s="126"/>
      <c r="BK324" s="126"/>
      <c r="BL324" s="126"/>
      <c r="BM324" s="126"/>
      <c r="BN324" s="126"/>
      <c r="BO324" s="126"/>
      <c r="BP324" s="126"/>
      <c r="BQ324" s="126"/>
      <c r="BR324" s="126"/>
      <c r="BS324" s="126"/>
      <c r="BT324" s="126"/>
      <c r="BU324" s="126"/>
      <c r="BV324" s="126"/>
      <c r="BW324" s="126"/>
      <c r="BX324" s="126"/>
      <c r="BY324" s="126"/>
      <c r="BZ324" s="126"/>
      <c r="CA324" s="126"/>
      <c r="CB324" s="126"/>
      <c r="CC324" s="126"/>
      <c r="CD324" s="126"/>
      <c r="CE324" s="126"/>
      <c r="CF324" s="126"/>
      <c r="CG324" s="126"/>
      <c r="CH324" s="126"/>
      <c r="CI324" s="126"/>
      <c r="CJ324" s="126"/>
      <c r="CK324" s="126"/>
    </row>
    <row r="325" spans="1:89" ht="9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  <c r="BD325" s="126"/>
      <c r="BE325" s="126"/>
      <c r="BF325" s="126"/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  <c r="BQ325" s="126"/>
      <c r="BR325" s="126"/>
      <c r="BS325" s="126"/>
      <c r="BT325" s="126"/>
      <c r="BU325" s="126"/>
      <c r="BV325" s="126"/>
      <c r="BW325" s="126"/>
      <c r="BX325" s="126"/>
      <c r="BY325" s="126"/>
      <c r="BZ325" s="126"/>
      <c r="CA325" s="126"/>
      <c r="CB325" s="126"/>
      <c r="CC325" s="126"/>
      <c r="CD325" s="126"/>
      <c r="CE325" s="126"/>
      <c r="CF325" s="126"/>
      <c r="CG325" s="126"/>
      <c r="CH325" s="126"/>
      <c r="CI325" s="126"/>
      <c r="CJ325" s="126"/>
      <c r="CK325" s="126"/>
    </row>
    <row r="326" spans="1:89" ht="9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  <c r="BD326" s="126"/>
      <c r="BE326" s="126"/>
      <c r="BF326" s="126"/>
      <c r="BG326" s="126"/>
      <c r="BH326" s="126"/>
      <c r="BI326" s="126"/>
      <c r="BJ326" s="126"/>
      <c r="BK326" s="126"/>
      <c r="BL326" s="126"/>
      <c r="BM326" s="126"/>
      <c r="BN326" s="126"/>
      <c r="BO326" s="126"/>
      <c r="BP326" s="126"/>
      <c r="BQ326" s="126"/>
      <c r="BR326" s="126"/>
      <c r="BS326" s="126"/>
      <c r="BT326" s="126"/>
      <c r="BU326" s="126"/>
      <c r="BV326" s="126"/>
      <c r="BW326" s="126"/>
      <c r="BX326" s="126"/>
      <c r="BY326" s="126"/>
      <c r="BZ326" s="126"/>
      <c r="CA326" s="126"/>
      <c r="CB326" s="126"/>
      <c r="CC326" s="126"/>
      <c r="CD326" s="126"/>
      <c r="CE326" s="126"/>
      <c r="CF326" s="126"/>
      <c r="CG326" s="126"/>
      <c r="CH326" s="126"/>
      <c r="CI326" s="126"/>
      <c r="CJ326" s="126"/>
      <c r="CK326" s="126"/>
    </row>
    <row r="327" spans="1:89" ht="9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26"/>
      <c r="BK327" s="126"/>
      <c r="BL327" s="126"/>
      <c r="BM327" s="126"/>
      <c r="BN327" s="126"/>
      <c r="BO327" s="126"/>
      <c r="BP327" s="126"/>
      <c r="BQ327" s="126"/>
      <c r="BR327" s="126"/>
      <c r="BS327" s="126"/>
      <c r="BT327" s="126"/>
      <c r="BU327" s="126"/>
      <c r="BV327" s="126"/>
      <c r="BW327" s="126"/>
      <c r="BX327" s="126"/>
      <c r="BY327" s="126"/>
      <c r="BZ327" s="126"/>
      <c r="CA327" s="126"/>
      <c r="CB327" s="126"/>
      <c r="CC327" s="126"/>
      <c r="CD327" s="126"/>
      <c r="CE327" s="126"/>
      <c r="CF327" s="126"/>
      <c r="CG327" s="126"/>
      <c r="CH327" s="126"/>
      <c r="CI327" s="126"/>
      <c r="CJ327" s="126"/>
      <c r="CK327" s="126"/>
    </row>
    <row r="328" spans="1:89" ht="9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  <c r="BD328" s="126"/>
      <c r="BE328" s="126"/>
      <c r="BF328" s="126"/>
      <c r="BG328" s="126"/>
      <c r="BH328" s="126"/>
      <c r="BI328" s="126"/>
      <c r="BJ328" s="126"/>
      <c r="BK328" s="126"/>
      <c r="BL328" s="126"/>
      <c r="BM328" s="126"/>
      <c r="BN328" s="126"/>
      <c r="BO328" s="126"/>
      <c r="BP328" s="126"/>
      <c r="BQ328" s="126"/>
      <c r="BR328" s="126"/>
      <c r="BS328" s="126"/>
      <c r="BT328" s="126"/>
      <c r="BU328" s="126"/>
      <c r="BV328" s="126"/>
      <c r="BW328" s="126"/>
      <c r="BX328" s="126"/>
      <c r="BY328" s="126"/>
      <c r="BZ328" s="126"/>
      <c r="CA328" s="126"/>
      <c r="CB328" s="126"/>
      <c r="CC328" s="126"/>
      <c r="CD328" s="126"/>
      <c r="CE328" s="126"/>
      <c r="CF328" s="126"/>
      <c r="CG328" s="126"/>
      <c r="CH328" s="126"/>
      <c r="CI328" s="126"/>
      <c r="CJ328" s="126"/>
      <c r="CK328" s="126"/>
    </row>
    <row r="329" spans="1:89" ht="9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  <c r="BF329" s="126"/>
      <c r="BG329" s="126"/>
      <c r="BH329" s="126"/>
      <c r="BI329" s="126"/>
      <c r="BJ329" s="126"/>
      <c r="BK329" s="126"/>
      <c r="BL329" s="126"/>
      <c r="BM329" s="126"/>
      <c r="BN329" s="126"/>
      <c r="BO329" s="126"/>
      <c r="BP329" s="126"/>
      <c r="BQ329" s="126"/>
      <c r="BR329" s="126"/>
      <c r="BS329" s="126"/>
      <c r="BT329" s="126"/>
      <c r="BU329" s="126"/>
      <c r="BV329" s="126"/>
      <c r="BW329" s="126"/>
      <c r="BX329" s="126"/>
      <c r="BY329" s="126"/>
      <c r="BZ329" s="126"/>
      <c r="CA329" s="126"/>
      <c r="CB329" s="126"/>
      <c r="CC329" s="126"/>
      <c r="CD329" s="126"/>
      <c r="CE329" s="126"/>
      <c r="CF329" s="126"/>
      <c r="CG329" s="126"/>
      <c r="CH329" s="126"/>
      <c r="CI329" s="126"/>
      <c r="CJ329" s="126"/>
      <c r="CK329" s="126"/>
    </row>
    <row r="330" spans="1:89" ht="9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  <c r="BD330" s="126"/>
      <c r="BE330" s="126"/>
      <c r="BF330" s="126"/>
      <c r="BG330" s="126"/>
      <c r="BH330" s="126"/>
      <c r="BI330" s="126"/>
      <c r="BJ330" s="126"/>
      <c r="BK330" s="126"/>
      <c r="BL330" s="126"/>
      <c r="BM330" s="126"/>
      <c r="BN330" s="126"/>
      <c r="BO330" s="126"/>
      <c r="BP330" s="126"/>
      <c r="BQ330" s="126"/>
      <c r="BR330" s="126"/>
      <c r="BS330" s="126"/>
      <c r="BT330" s="126"/>
      <c r="BU330" s="126"/>
      <c r="BV330" s="126"/>
      <c r="BW330" s="126"/>
      <c r="BX330" s="126"/>
      <c r="BY330" s="126"/>
      <c r="BZ330" s="126"/>
      <c r="CA330" s="126"/>
      <c r="CB330" s="126"/>
      <c r="CC330" s="126"/>
      <c r="CD330" s="126"/>
      <c r="CE330" s="126"/>
      <c r="CF330" s="126"/>
      <c r="CG330" s="126"/>
      <c r="CH330" s="126"/>
      <c r="CI330" s="126"/>
      <c r="CJ330" s="126"/>
      <c r="CK330" s="126"/>
    </row>
    <row r="331" spans="1:89" ht="9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  <c r="BD331" s="126"/>
      <c r="BE331" s="126"/>
      <c r="BF331" s="126"/>
      <c r="BG331" s="126"/>
      <c r="BH331" s="126"/>
      <c r="BI331" s="126"/>
      <c r="BJ331" s="126"/>
      <c r="BK331" s="126"/>
      <c r="BL331" s="126"/>
      <c r="BM331" s="126"/>
      <c r="BN331" s="126"/>
      <c r="BO331" s="126"/>
      <c r="BP331" s="126"/>
      <c r="BQ331" s="126"/>
      <c r="BR331" s="126"/>
      <c r="BS331" s="126"/>
      <c r="BT331" s="126"/>
      <c r="BU331" s="126"/>
      <c r="BV331" s="126"/>
      <c r="BW331" s="126"/>
      <c r="BX331" s="126"/>
      <c r="BY331" s="126"/>
      <c r="BZ331" s="126"/>
      <c r="CA331" s="126"/>
      <c r="CB331" s="126"/>
      <c r="CC331" s="126"/>
      <c r="CD331" s="126"/>
      <c r="CE331" s="126"/>
      <c r="CF331" s="126"/>
      <c r="CG331" s="126"/>
      <c r="CH331" s="126"/>
      <c r="CI331" s="126"/>
      <c r="CJ331" s="126"/>
      <c r="CK331" s="126"/>
    </row>
    <row r="332" spans="1:89" ht="9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  <c r="BD332" s="126"/>
      <c r="BE332" s="126"/>
      <c r="BF332" s="126"/>
      <c r="BG332" s="126"/>
      <c r="BH332" s="126"/>
      <c r="BI332" s="126"/>
      <c r="BJ332" s="126"/>
      <c r="BK332" s="126"/>
      <c r="BL332" s="126"/>
      <c r="BM332" s="126"/>
      <c r="BN332" s="126"/>
      <c r="BO332" s="126"/>
      <c r="BP332" s="126"/>
      <c r="BQ332" s="126"/>
      <c r="BR332" s="126"/>
      <c r="BS332" s="126"/>
      <c r="BT332" s="126"/>
      <c r="BU332" s="126"/>
      <c r="BV332" s="126"/>
      <c r="BW332" s="126"/>
      <c r="BX332" s="126"/>
      <c r="BY332" s="126"/>
      <c r="BZ332" s="126"/>
      <c r="CA332" s="126"/>
      <c r="CB332" s="126"/>
      <c r="CC332" s="126"/>
      <c r="CD332" s="126"/>
      <c r="CE332" s="126"/>
      <c r="CF332" s="126"/>
      <c r="CG332" s="126"/>
      <c r="CH332" s="126"/>
      <c r="CI332" s="126"/>
      <c r="CJ332" s="126"/>
      <c r="CK332" s="126"/>
    </row>
    <row r="333" spans="1:89" ht="9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26"/>
      <c r="BE333" s="126"/>
      <c r="BF333" s="126"/>
      <c r="BG333" s="126"/>
      <c r="BH333" s="126"/>
      <c r="BI333" s="126"/>
      <c r="BJ333" s="126"/>
      <c r="BK333" s="126"/>
      <c r="BL333" s="126"/>
      <c r="BM333" s="126"/>
      <c r="BN333" s="126"/>
      <c r="BO333" s="126"/>
      <c r="BP333" s="126"/>
      <c r="BQ333" s="126"/>
      <c r="BR333" s="126"/>
      <c r="BS333" s="126"/>
      <c r="BT333" s="126"/>
      <c r="BU333" s="126"/>
      <c r="BV333" s="126"/>
      <c r="BW333" s="126"/>
      <c r="BX333" s="126"/>
      <c r="BY333" s="126"/>
      <c r="BZ333" s="126"/>
      <c r="CA333" s="126"/>
      <c r="CB333" s="126"/>
      <c r="CC333" s="126"/>
      <c r="CD333" s="126"/>
      <c r="CE333" s="126"/>
      <c r="CF333" s="126"/>
      <c r="CG333" s="126"/>
      <c r="CH333" s="126"/>
      <c r="CI333" s="126"/>
      <c r="CJ333" s="126"/>
      <c r="CK333" s="126"/>
    </row>
    <row r="334" spans="1:89" ht="9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  <c r="BD334" s="126"/>
      <c r="BE334" s="126"/>
      <c r="BF334" s="126"/>
      <c r="BG334" s="126"/>
      <c r="BH334" s="126"/>
      <c r="BI334" s="126"/>
      <c r="BJ334" s="126"/>
      <c r="BK334" s="126"/>
      <c r="BL334" s="126"/>
      <c r="BM334" s="126"/>
      <c r="BN334" s="126"/>
      <c r="BO334" s="126"/>
      <c r="BP334" s="126"/>
      <c r="BQ334" s="126"/>
      <c r="BR334" s="126"/>
      <c r="BS334" s="126"/>
      <c r="BT334" s="126"/>
      <c r="BU334" s="126"/>
      <c r="BV334" s="126"/>
      <c r="BW334" s="126"/>
      <c r="BX334" s="126"/>
      <c r="BY334" s="126"/>
      <c r="BZ334" s="126"/>
      <c r="CA334" s="126"/>
      <c r="CB334" s="126"/>
      <c r="CC334" s="126"/>
      <c r="CD334" s="126"/>
      <c r="CE334" s="126"/>
      <c r="CF334" s="126"/>
      <c r="CG334" s="126"/>
      <c r="CH334" s="126"/>
      <c r="CI334" s="126"/>
      <c r="CJ334" s="126"/>
      <c r="CK334" s="126"/>
    </row>
    <row r="335" spans="1:89" ht="9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  <c r="BD335" s="126"/>
      <c r="BE335" s="126"/>
      <c r="BF335" s="126"/>
      <c r="BG335" s="126"/>
      <c r="BH335" s="126"/>
      <c r="BI335" s="126"/>
      <c r="BJ335" s="126"/>
      <c r="BK335" s="126"/>
      <c r="BL335" s="126"/>
      <c r="BM335" s="126"/>
      <c r="BN335" s="126"/>
      <c r="BO335" s="126"/>
      <c r="BP335" s="126"/>
      <c r="BQ335" s="126"/>
      <c r="BR335" s="126"/>
      <c r="BS335" s="126"/>
      <c r="BT335" s="126"/>
      <c r="BU335" s="126"/>
      <c r="BV335" s="126"/>
      <c r="BW335" s="126"/>
      <c r="BX335" s="126"/>
      <c r="BY335" s="126"/>
      <c r="BZ335" s="126"/>
      <c r="CA335" s="126"/>
      <c r="CB335" s="126"/>
      <c r="CC335" s="126"/>
      <c r="CD335" s="126"/>
      <c r="CE335" s="126"/>
      <c r="CF335" s="126"/>
      <c r="CG335" s="126"/>
      <c r="CH335" s="126"/>
      <c r="CI335" s="126"/>
      <c r="CJ335" s="126"/>
      <c r="CK335" s="126"/>
    </row>
    <row r="336" spans="1:89" ht="9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  <c r="BD336" s="126"/>
      <c r="BE336" s="126"/>
      <c r="BF336" s="126"/>
      <c r="BG336" s="126"/>
      <c r="BH336" s="126"/>
      <c r="BI336" s="126"/>
      <c r="BJ336" s="126"/>
      <c r="BK336" s="126"/>
      <c r="BL336" s="126"/>
      <c r="BM336" s="126"/>
      <c r="BN336" s="126"/>
      <c r="BO336" s="126"/>
      <c r="BP336" s="126"/>
      <c r="BQ336" s="126"/>
      <c r="BR336" s="126"/>
      <c r="BS336" s="126"/>
      <c r="BT336" s="126"/>
      <c r="BU336" s="126"/>
      <c r="BV336" s="126"/>
      <c r="BW336" s="126"/>
      <c r="BX336" s="126"/>
      <c r="BY336" s="126"/>
      <c r="BZ336" s="126"/>
      <c r="CA336" s="126"/>
      <c r="CB336" s="126"/>
      <c r="CC336" s="126"/>
      <c r="CD336" s="126"/>
      <c r="CE336" s="126"/>
      <c r="CF336" s="126"/>
      <c r="CG336" s="126"/>
      <c r="CH336" s="126"/>
      <c r="CI336" s="126"/>
      <c r="CJ336" s="126"/>
      <c r="CK336" s="126"/>
    </row>
    <row r="337" spans="1:89" ht="9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  <c r="BD337" s="126"/>
      <c r="BE337" s="126"/>
      <c r="BF337" s="126"/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  <c r="BQ337" s="126"/>
      <c r="BR337" s="126"/>
      <c r="BS337" s="126"/>
      <c r="BT337" s="126"/>
      <c r="BU337" s="126"/>
      <c r="BV337" s="126"/>
      <c r="BW337" s="126"/>
      <c r="BX337" s="126"/>
      <c r="BY337" s="126"/>
      <c r="BZ337" s="126"/>
      <c r="CA337" s="126"/>
      <c r="CB337" s="126"/>
      <c r="CC337" s="126"/>
      <c r="CD337" s="126"/>
      <c r="CE337" s="126"/>
      <c r="CF337" s="126"/>
      <c r="CG337" s="126"/>
      <c r="CH337" s="126"/>
      <c r="CI337" s="126"/>
      <c r="CJ337" s="126"/>
      <c r="CK337" s="126"/>
    </row>
    <row r="338" spans="1:89" ht="9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  <c r="BD338" s="126"/>
      <c r="BE338" s="126"/>
      <c r="BF338" s="126"/>
      <c r="BG338" s="126"/>
      <c r="BH338" s="126"/>
      <c r="BI338" s="126"/>
      <c r="BJ338" s="126"/>
      <c r="BK338" s="126"/>
      <c r="BL338" s="126"/>
      <c r="BM338" s="126"/>
      <c r="BN338" s="126"/>
      <c r="BO338" s="126"/>
      <c r="BP338" s="126"/>
      <c r="BQ338" s="126"/>
      <c r="BR338" s="126"/>
      <c r="BS338" s="126"/>
      <c r="BT338" s="126"/>
      <c r="BU338" s="126"/>
      <c r="BV338" s="126"/>
      <c r="BW338" s="126"/>
      <c r="BX338" s="126"/>
      <c r="BY338" s="126"/>
      <c r="BZ338" s="126"/>
      <c r="CA338" s="126"/>
      <c r="CB338" s="126"/>
      <c r="CC338" s="126"/>
      <c r="CD338" s="126"/>
      <c r="CE338" s="126"/>
      <c r="CF338" s="126"/>
      <c r="CG338" s="126"/>
      <c r="CH338" s="126"/>
      <c r="CI338" s="126"/>
      <c r="CJ338" s="126"/>
      <c r="CK338" s="126"/>
    </row>
    <row r="339" spans="1:89" ht="9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  <c r="BD339" s="126"/>
      <c r="BE339" s="126"/>
      <c r="BF339" s="126"/>
      <c r="BG339" s="126"/>
      <c r="BH339" s="126"/>
      <c r="BI339" s="126"/>
      <c r="BJ339" s="126"/>
      <c r="BK339" s="126"/>
      <c r="BL339" s="126"/>
      <c r="BM339" s="126"/>
      <c r="BN339" s="126"/>
      <c r="BO339" s="126"/>
      <c r="BP339" s="126"/>
      <c r="BQ339" s="126"/>
      <c r="BR339" s="126"/>
      <c r="BS339" s="126"/>
      <c r="BT339" s="126"/>
      <c r="BU339" s="126"/>
      <c r="BV339" s="126"/>
      <c r="BW339" s="126"/>
      <c r="BX339" s="126"/>
      <c r="BY339" s="126"/>
      <c r="BZ339" s="126"/>
      <c r="CA339" s="126"/>
      <c r="CB339" s="126"/>
      <c r="CC339" s="126"/>
      <c r="CD339" s="126"/>
      <c r="CE339" s="126"/>
      <c r="CF339" s="126"/>
      <c r="CG339" s="126"/>
      <c r="CH339" s="126"/>
      <c r="CI339" s="126"/>
      <c r="CJ339" s="126"/>
      <c r="CK339" s="126"/>
    </row>
    <row r="340" spans="1:89" ht="9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  <c r="BD340" s="126"/>
      <c r="BE340" s="126"/>
      <c r="BF340" s="126"/>
      <c r="BG340" s="126"/>
      <c r="BH340" s="126"/>
      <c r="BI340" s="126"/>
      <c r="BJ340" s="126"/>
      <c r="BK340" s="126"/>
      <c r="BL340" s="126"/>
      <c r="BM340" s="126"/>
      <c r="BN340" s="126"/>
      <c r="BO340" s="126"/>
      <c r="BP340" s="126"/>
      <c r="BQ340" s="126"/>
      <c r="BR340" s="126"/>
      <c r="BS340" s="126"/>
      <c r="BT340" s="126"/>
      <c r="BU340" s="126"/>
      <c r="BV340" s="126"/>
      <c r="BW340" s="126"/>
      <c r="BX340" s="126"/>
      <c r="BY340" s="126"/>
      <c r="BZ340" s="126"/>
      <c r="CA340" s="126"/>
      <c r="CB340" s="126"/>
      <c r="CC340" s="126"/>
      <c r="CD340" s="126"/>
      <c r="CE340" s="126"/>
      <c r="CF340" s="126"/>
      <c r="CG340" s="126"/>
      <c r="CH340" s="126"/>
      <c r="CI340" s="126"/>
      <c r="CJ340" s="126"/>
      <c r="CK340" s="126"/>
    </row>
    <row r="341" spans="1:89" ht="9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  <c r="BK341" s="126"/>
      <c r="BL341" s="126"/>
      <c r="BM341" s="126"/>
      <c r="BN341" s="126"/>
      <c r="BO341" s="126"/>
      <c r="BP341" s="126"/>
      <c r="BQ341" s="126"/>
      <c r="BR341" s="126"/>
      <c r="BS341" s="126"/>
      <c r="BT341" s="126"/>
      <c r="BU341" s="126"/>
      <c r="BV341" s="126"/>
      <c r="BW341" s="126"/>
      <c r="BX341" s="126"/>
      <c r="BY341" s="126"/>
      <c r="BZ341" s="126"/>
      <c r="CA341" s="126"/>
      <c r="CB341" s="126"/>
      <c r="CC341" s="126"/>
      <c r="CD341" s="126"/>
      <c r="CE341" s="126"/>
      <c r="CF341" s="126"/>
      <c r="CG341" s="126"/>
      <c r="CH341" s="126"/>
      <c r="CI341" s="126"/>
      <c r="CJ341" s="126"/>
      <c r="CK341" s="126"/>
    </row>
    <row r="342" spans="1:89" ht="9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  <c r="BK342" s="126"/>
      <c r="BL342" s="126"/>
      <c r="BM342" s="126"/>
      <c r="BN342" s="126"/>
      <c r="BO342" s="126"/>
      <c r="BP342" s="126"/>
      <c r="BQ342" s="126"/>
      <c r="BR342" s="126"/>
      <c r="BS342" s="126"/>
      <c r="BT342" s="126"/>
      <c r="BU342" s="126"/>
      <c r="BV342" s="126"/>
      <c r="BW342" s="126"/>
      <c r="BX342" s="126"/>
      <c r="BY342" s="126"/>
      <c r="BZ342" s="126"/>
      <c r="CA342" s="126"/>
      <c r="CB342" s="126"/>
      <c r="CC342" s="126"/>
      <c r="CD342" s="126"/>
      <c r="CE342" s="126"/>
      <c r="CF342" s="126"/>
      <c r="CG342" s="126"/>
      <c r="CH342" s="126"/>
      <c r="CI342" s="126"/>
      <c r="CJ342" s="126"/>
      <c r="CK342" s="126"/>
    </row>
    <row r="343" spans="1:89" ht="9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  <c r="BP343" s="126"/>
      <c r="BQ343" s="126"/>
      <c r="BR343" s="126"/>
      <c r="BS343" s="126"/>
      <c r="BT343" s="126"/>
      <c r="BU343" s="126"/>
      <c r="BV343" s="126"/>
      <c r="BW343" s="126"/>
      <c r="BX343" s="126"/>
      <c r="BY343" s="126"/>
      <c r="BZ343" s="126"/>
      <c r="CA343" s="126"/>
      <c r="CB343" s="126"/>
      <c r="CC343" s="126"/>
      <c r="CD343" s="126"/>
      <c r="CE343" s="126"/>
      <c r="CF343" s="126"/>
      <c r="CG343" s="126"/>
      <c r="CH343" s="126"/>
      <c r="CI343" s="126"/>
      <c r="CJ343" s="126"/>
      <c r="CK343" s="126"/>
    </row>
    <row r="344" spans="1:89" ht="9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  <c r="BK344" s="126"/>
      <c r="BL344" s="126"/>
      <c r="BM344" s="126"/>
      <c r="BN344" s="126"/>
      <c r="BO344" s="126"/>
      <c r="BP344" s="126"/>
      <c r="BQ344" s="126"/>
      <c r="BR344" s="126"/>
      <c r="BS344" s="126"/>
      <c r="BT344" s="126"/>
      <c r="BU344" s="126"/>
      <c r="BV344" s="126"/>
      <c r="BW344" s="126"/>
      <c r="BX344" s="126"/>
      <c r="BY344" s="126"/>
      <c r="BZ344" s="126"/>
      <c r="CA344" s="126"/>
      <c r="CB344" s="126"/>
      <c r="CC344" s="126"/>
      <c r="CD344" s="126"/>
      <c r="CE344" s="126"/>
      <c r="CF344" s="126"/>
      <c r="CG344" s="126"/>
      <c r="CH344" s="126"/>
      <c r="CI344" s="126"/>
      <c r="CJ344" s="126"/>
      <c r="CK344" s="126"/>
    </row>
    <row r="345" spans="1:89" ht="9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26"/>
      <c r="BR345" s="126"/>
      <c r="BS345" s="126"/>
      <c r="BT345" s="126"/>
      <c r="BU345" s="126"/>
      <c r="BV345" s="126"/>
      <c r="BW345" s="126"/>
      <c r="BX345" s="126"/>
      <c r="BY345" s="126"/>
      <c r="BZ345" s="126"/>
      <c r="CA345" s="126"/>
      <c r="CB345" s="126"/>
      <c r="CC345" s="126"/>
      <c r="CD345" s="126"/>
      <c r="CE345" s="126"/>
      <c r="CF345" s="126"/>
      <c r="CG345" s="126"/>
      <c r="CH345" s="126"/>
      <c r="CI345" s="126"/>
      <c r="CJ345" s="126"/>
      <c r="CK345" s="126"/>
    </row>
    <row r="346" spans="1:89" ht="9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26"/>
      <c r="BR346" s="126"/>
      <c r="BS346" s="126"/>
      <c r="BT346" s="126"/>
      <c r="BU346" s="126"/>
      <c r="BV346" s="126"/>
      <c r="BW346" s="126"/>
      <c r="BX346" s="126"/>
      <c r="BY346" s="126"/>
      <c r="BZ346" s="126"/>
      <c r="CA346" s="126"/>
      <c r="CB346" s="126"/>
      <c r="CC346" s="126"/>
      <c r="CD346" s="126"/>
      <c r="CE346" s="126"/>
      <c r="CF346" s="126"/>
      <c r="CG346" s="126"/>
      <c r="CH346" s="126"/>
      <c r="CI346" s="126"/>
      <c r="CJ346" s="126"/>
      <c r="CK346" s="126"/>
    </row>
    <row r="347" spans="1:89" ht="9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26"/>
      <c r="BR347" s="126"/>
      <c r="BS347" s="126"/>
      <c r="BT347" s="126"/>
      <c r="BU347" s="126"/>
      <c r="BV347" s="126"/>
      <c r="BW347" s="126"/>
      <c r="BX347" s="126"/>
      <c r="BY347" s="126"/>
      <c r="BZ347" s="126"/>
      <c r="CA347" s="126"/>
      <c r="CB347" s="126"/>
      <c r="CC347" s="126"/>
      <c r="CD347" s="126"/>
      <c r="CE347" s="126"/>
      <c r="CF347" s="126"/>
      <c r="CG347" s="126"/>
      <c r="CH347" s="126"/>
      <c r="CI347" s="126"/>
      <c r="CJ347" s="126"/>
      <c r="CK347" s="126"/>
    </row>
    <row r="348" spans="1:89" ht="9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26"/>
      <c r="BR348" s="126"/>
      <c r="BS348" s="126"/>
      <c r="BT348" s="126"/>
      <c r="BU348" s="126"/>
      <c r="BV348" s="126"/>
      <c r="BW348" s="126"/>
      <c r="BX348" s="126"/>
      <c r="BY348" s="126"/>
      <c r="BZ348" s="126"/>
      <c r="CA348" s="126"/>
      <c r="CB348" s="126"/>
      <c r="CC348" s="126"/>
      <c r="CD348" s="126"/>
      <c r="CE348" s="126"/>
      <c r="CF348" s="126"/>
      <c r="CG348" s="126"/>
      <c r="CH348" s="126"/>
      <c r="CI348" s="126"/>
      <c r="CJ348" s="126"/>
      <c r="CK348" s="126"/>
    </row>
    <row r="349" spans="1:89" ht="9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26"/>
      <c r="BR349" s="126"/>
      <c r="BS349" s="126"/>
      <c r="BT349" s="126"/>
      <c r="BU349" s="126"/>
      <c r="BV349" s="126"/>
      <c r="BW349" s="126"/>
      <c r="BX349" s="126"/>
      <c r="BY349" s="126"/>
      <c r="BZ349" s="126"/>
      <c r="CA349" s="126"/>
      <c r="CB349" s="126"/>
      <c r="CC349" s="126"/>
      <c r="CD349" s="126"/>
      <c r="CE349" s="126"/>
      <c r="CF349" s="126"/>
      <c r="CG349" s="126"/>
      <c r="CH349" s="126"/>
      <c r="CI349" s="126"/>
      <c r="CJ349" s="126"/>
      <c r="CK349" s="126"/>
    </row>
    <row r="350" spans="1:89" ht="9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26"/>
      <c r="BR350" s="126"/>
      <c r="BS350" s="126"/>
      <c r="BT350" s="126"/>
      <c r="BU350" s="126"/>
      <c r="BV350" s="126"/>
      <c r="BW350" s="126"/>
      <c r="BX350" s="126"/>
      <c r="BY350" s="126"/>
      <c r="BZ350" s="126"/>
      <c r="CA350" s="126"/>
      <c r="CB350" s="126"/>
      <c r="CC350" s="126"/>
      <c r="CD350" s="126"/>
      <c r="CE350" s="126"/>
      <c r="CF350" s="126"/>
      <c r="CG350" s="126"/>
      <c r="CH350" s="126"/>
      <c r="CI350" s="126"/>
      <c r="CJ350" s="126"/>
      <c r="CK350" s="126"/>
    </row>
    <row r="351" spans="1:89" ht="9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26"/>
      <c r="BR351" s="126"/>
      <c r="BS351" s="126"/>
      <c r="BT351" s="126"/>
      <c r="BU351" s="126"/>
      <c r="BV351" s="126"/>
      <c r="BW351" s="126"/>
      <c r="BX351" s="126"/>
      <c r="BY351" s="126"/>
      <c r="BZ351" s="126"/>
      <c r="CA351" s="126"/>
      <c r="CB351" s="126"/>
      <c r="CC351" s="126"/>
      <c r="CD351" s="126"/>
      <c r="CE351" s="126"/>
      <c r="CF351" s="126"/>
      <c r="CG351" s="126"/>
      <c r="CH351" s="126"/>
      <c r="CI351" s="126"/>
      <c r="CJ351" s="126"/>
      <c r="CK351" s="126"/>
    </row>
    <row r="352" spans="1:89" ht="9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26"/>
      <c r="BR352" s="126"/>
      <c r="BS352" s="126"/>
      <c r="BT352" s="126"/>
      <c r="BU352" s="126"/>
      <c r="BV352" s="126"/>
      <c r="BW352" s="126"/>
      <c r="BX352" s="126"/>
      <c r="BY352" s="126"/>
      <c r="BZ352" s="126"/>
      <c r="CA352" s="126"/>
      <c r="CB352" s="126"/>
      <c r="CC352" s="126"/>
      <c r="CD352" s="126"/>
      <c r="CE352" s="126"/>
      <c r="CF352" s="126"/>
      <c r="CG352" s="126"/>
      <c r="CH352" s="126"/>
      <c r="CI352" s="126"/>
      <c r="CJ352" s="126"/>
      <c r="CK352" s="126"/>
    </row>
    <row r="353" spans="1:89" ht="9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26"/>
      <c r="BR353" s="126"/>
      <c r="BS353" s="126"/>
      <c r="BT353" s="126"/>
      <c r="BU353" s="126"/>
      <c r="BV353" s="126"/>
      <c r="BW353" s="126"/>
      <c r="BX353" s="126"/>
      <c r="BY353" s="126"/>
      <c r="BZ353" s="126"/>
      <c r="CA353" s="126"/>
      <c r="CB353" s="126"/>
      <c r="CC353" s="126"/>
      <c r="CD353" s="126"/>
      <c r="CE353" s="126"/>
      <c r="CF353" s="126"/>
      <c r="CG353" s="126"/>
      <c r="CH353" s="126"/>
      <c r="CI353" s="126"/>
      <c r="CJ353" s="126"/>
      <c r="CK353" s="126"/>
    </row>
    <row r="354" spans="1:89" ht="9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26"/>
      <c r="BR354" s="126"/>
      <c r="BS354" s="126"/>
      <c r="BT354" s="126"/>
      <c r="BU354" s="126"/>
      <c r="BV354" s="126"/>
      <c r="BW354" s="126"/>
      <c r="BX354" s="126"/>
      <c r="BY354" s="126"/>
      <c r="BZ354" s="126"/>
      <c r="CA354" s="126"/>
      <c r="CB354" s="126"/>
      <c r="CC354" s="126"/>
      <c r="CD354" s="126"/>
      <c r="CE354" s="126"/>
      <c r="CF354" s="126"/>
      <c r="CG354" s="126"/>
      <c r="CH354" s="126"/>
      <c r="CI354" s="126"/>
      <c r="CJ354" s="126"/>
      <c r="CK354" s="126"/>
    </row>
    <row r="355" spans="1:89" ht="9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26"/>
      <c r="BR355" s="126"/>
      <c r="BS355" s="126"/>
      <c r="BT355" s="126"/>
      <c r="BU355" s="126"/>
      <c r="BV355" s="126"/>
      <c r="BW355" s="126"/>
      <c r="BX355" s="126"/>
      <c r="BY355" s="126"/>
      <c r="BZ355" s="126"/>
      <c r="CA355" s="126"/>
      <c r="CB355" s="126"/>
      <c r="CC355" s="126"/>
      <c r="CD355" s="126"/>
      <c r="CE355" s="126"/>
      <c r="CF355" s="126"/>
      <c r="CG355" s="126"/>
      <c r="CH355" s="126"/>
      <c r="CI355" s="126"/>
      <c r="CJ355" s="126"/>
      <c r="CK355" s="126"/>
    </row>
    <row r="356" spans="1:89" ht="9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  <c r="BD356" s="126"/>
      <c r="BE356" s="126"/>
      <c r="BF356" s="126"/>
      <c r="BG356" s="126"/>
      <c r="BH356" s="126"/>
      <c r="BI356" s="126"/>
      <c r="BJ356" s="126"/>
      <c r="BK356" s="126"/>
      <c r="BL356" s="126"/>
      <c r="BM356" s="126"/>
      <c r="BN356" s="126"/>
      <c r="BO356" s="126"/>
      <c r="BP356" s="126"/>
      <c r="BQ356" s="126"/>
      <c r="BR356" s="126"/>
      <c r="BS356" s="126"/>
      <c r="BT356" s="126"/>
      <c r="BU356" s="126"/>
      <c r="BV356" s="126"/>
      <c r="BW356" s="126"/>
      <c r="BX356" s="126"/>
      <c r="BY356" s="126"/>
      <c r="BZ356" s="126"/>
      <c r="CA356" s="126"/>
      <c r="CB356" s="126"/>
      <c r="CC356" s="126"/>
      <c r="CD356" s="126"/>
      <c r="CE356" s="126"/>
      <c r="CF356" s="126"/>
      <c r="CG356" s="126"/>
      <c r="CH356" s="126"/>
      <c r="CI356" s="126"/>
      <c r="CJ356" s="126"/>
      <c r="CK356" s="126"/>
    </row>
    <row r="357" spans="1:89" ht="9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  <c r="BK357" s="126"/>
      <c r="BL357" s="126"/>
      <c r="BM357" s="126"/>
      <c r="BN357" s="126"/>
      <c r="BO357" s="126"/>
      <c r="BP357" s="126"/>
      <c r="BQ357" s="126"/>
      <c r="BR357" s="126"/>
      <c r="BS357" s="126"/>
      <c r="BT357" s="126"/>
      <c r="BU357" s="126"/>
      <c r="BV357" s="126"/>
      <c r="BW357" s="126"/>
      <c r="BX357" s="126"/>
      <c r="BY357" s="126"/>
      <c r="BZ357" s="126"/>
      <c r="CA357" s="126"/>
      <c r="CB357" s="126"/>
      <c r="CC357" s="126"/>
      <c r="CD357" s="126"/>
      <c r="CE357" s="126"/>
      <c r="CF357" s="126"/>
      <c r="CG357" s="126"/>
      <c r="CH357" s="126"/>
      <c r="CI357" s="126"/>
      <c r="CJ357" s="126"/>
      <c r="CK357" s="126"/>
    </row>
    <row r="358" spans="1:89" ht="9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  <c r="BD358" s="126"/>
      <c r="BE358" s="126"/>
      <c r="BF358" s="126"/>
      <c r="BG358" s="126"/>
      <c r="BH358" s="126"/>
      <c r="BI358" s="126"/>
      <c r="BJ358" s="126"/>
      <c r="BK358" s="126"/>
      <c r="BL358" s="126"/>
      <c r="BM358" s="126"/>
      <c r="BN358" s="126"/>
      <c r="BO358" s="126"/>
      <c r="BP358" s="126"/>
      <c r="BQ358" s="126"/>
      <c r="BR358" s="126"/>
      <c r="BS358" s="126"/>
      <c r="BT358" s="126"/>
      <c r="BU358" s="126"/>
      <c r="BV358" s="126"/>
      <c r="BW358" s="126"/>
      <c r="BX358" s="126"/>
      <c r="BY358" s="126"/>
      <c r="BZ358" s="126"/>
      <c r="CA358" s="126"/>
      <c r="CB358" s="126"/>
      <c r="CC358" s="126"/>
      <c r="CD358" s="126"/>
      <c r="CE358" s="126"/>
      <c r="CF358" s="126"/>
      <c r="CG358" s="126"/>
      <c r="CH358" s="126"/>
      <c r="CI358" s="126"/>
      <c r="CJ358" s="126"/>
      <c r="CK358" s="126"/>
    </row>
    <row r="359" spans="1:89" ht="9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  <c r="BD359" s="126"/>
      <c r="BE359" s="126"/>
      <c r="BF359" s="126"/>
      <c r="BG359" s="126"/>
      <c r="BH359" s="126"/>
      <c r="BI359" s="126"/>
      <c r="BJ359" s="126"/>
      <c r="BK359" s="126"/>
      <c r="BL359" s="126"/>
      <c r="BM359" s="126"/>
      <c r="BN359" s="126"/>
      <c r="BO359" s="126"/>
      <c r="BP359" s="126"/>
      <c r="BQ359" s="126"/>
      <c r="BR359" s="126"/>
      <c r="BS359" s="126"/>
      <c r="BT359" s="126"/>
      <c r="BU359" s="126"/>
      <c r="BV359" s="126"/>
      <c r="BW359" s="126"/>
      <c r="BX359" s="126"/>
      <c r="BY359" s="126"/>
      <c r="BZ359" s="126"/>
      <c r="CA359" s="126"/>
      <c r="CB359" s="126"/>
      <c r="CC359" s="126"/>
      <c r="CD359" s="126"/>
      <c r="CE359" s="126"/>
      <c r="CF359" s="126"/>
      <c r="CG359" s="126"/>
      <c r="CH359" s="126"/>
      <c r="CI359" s="126"/>
      <c r="CJ359" s="126"/>
      <c r="CK359" s="126"/>
    </row>
    <row r="360" spans="1:89" ht="9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  <c r="BD360" s="126"/>
      <c r="BE360" s="126"/>
      <c r="BF360" s="126"/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26"/>
      <c r="BR360" s="126"/>
      <c r="BS360" s="126"/>
      <c r="BT360" s="126"/>
      <c r="BU360" s="126"/>
      <c r="BV360" s="126"/>
      <c r="BW360" s="126"/>
      <c r="BX360" s="126"/>
      <c r="BY360" s="126"/>
      <c r="BZ360" s="126"/>
      <c r="CA360" s="126"/>
      <c r="CB360" s="126"/>
      <c r="CC360" s="126"/>
      <c r="CD360" s="126"/>
      <c r="CE360" s="126"/>
      <c r="CF360" s="126"/>
      <c r="CG360" s="126"/>
      <c r="CH360" s="126"/>
      <c r="CI360" s="126"/>
      <c r="CJ360" s="126"/>
      <c r="CK360" s="126"/>
    </row>
    <row r="361" spans="1:89" ht="9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  <c r="BD361" s="126"/>
      <c r="BE361" s="126"/>
      <c r="BF361" s="126"/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26"/>
      <c r="BR361" s="126"/>
      <c r="BS361" s="126"/>
      <c r="BT361" s="126"/>
      <c r="BU361" s="126"/>
      <c r="BV361" s="126"/>
      <c r="BW361" s="126"/>
      <c r="BX361" s="126"/>
      <c r="BY361" s="126"/>
      <c r="BZ361" s="126"/>
      <c r="CA361" s="126"/>
      <c r="CB361" s="126"/>
      <c r="CC361" s="126"/>
      <c r="CD361" s="126"/>
      <c r="CE361" s="126"/>
      <c r="CF361" s="126"/>
      <c r="CG361" s="126"/>
      <c r="CH361" s="126"/>
      <c r="CI361" s="126"/>
      <c r="CJ361" s="126"/>
      <c r="CK361" s="126"/>
    </row>
    <row r="362" spans="1:89" ht="9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  <c r="BD362" s="126"/>
      <c r="BE362" s="126"/>
      <c r="BF362" s="126"/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26"/>
      <c r="BR362" s="126"/>
      <c r="BS362" s="126"/>
      <c r="BT362" s="126"/>
      <c r="BU362" s="126"/>
      <c r="BV362" s="126"/>
      <c r="BW362" s="126"/>
      <c r="BX362" s="126"/>
      <c r="BY362" s="126"/>
      <c r="BZ362" s="126"/>
      <c r="CA362" s="126"/>
      <c r="CB362" s="126"/>
      <c r="CC362" s="126"/>
      <c r="CD362" s="126"/>
      <c r="CE362" s="126"/>
      <c r="CF362" s="126"/>
      <c r="CG362" s="126"/>
      <c r="CH362" s="126"/>
      <c r="CI362" s="126"/>
      <c r="CJ362" s="126"/>
      <c r="CK362" s="126"/>
    </row>
    <row r="363" spans="1:89" ht="9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  <c r="BF363" s="126"/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26"/>
      <c r="BR363" s="126"/>
      <c r="BS363" s="126"/>
      <c r="BT363" s="126"/>
      <c r="BU363" s="126"/>
      <c r="BV363" s="126"/>
      <c r="BW363" s="126"/>
      <c r="BX363" s="126"/>
      <c r="BY363" s="126"/>
      <c r="BZ363" s="126"/>
      <c r="CA363" s="126"/>
      <c r="CB363" s="126"/>
      <c r="CC363" s="126"/>
      <c r="CD363" s="126"/>
      <c r="CE363" s="126"/>
      <c r="CF363" s="126"/>
      <c r="CG363" s="126"/>
      <c r="CH363" s="126"/>
      <c r="CI363" s="126"/>
      <c r="CJ363" s="126"/>
      <c r="CK363" s="126"/>
    </row>
    <row r="364" spans="1:89" ht="9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  <c r="BD364" s="126"/>
      <c r="BE364" s="126"/>
      <c r="BF364" s="126"/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26"/>
      <c r="BR364" s="126"/>
      <c r="BS364" s="126"/>
      <c r="BT364" s="126"/>
      <c r="BU364" s="126"/>
      <c r="BV364" s="126"/>
      <c r="BW364" s="126"/>
      <c r="BX364" s="126"/>
      <c r="BY364" s="126"/>
      <c r="BZ364" s="126"/>
      <c r="CA364" s="126"/>
      <c r="CB364" s="126"/>
      <c r="CC364" s="126"/>
      <c r="CD364" s="126"/>
      <c r="CE364" s="126"/>
      <c r="CF364" s="126"/>
      <c r="CG364" s="126"/>
      <c r="CH364" s="126"/>
      <c r="CI364" s="126"/>
      <c r="CJ364" s="126"/>
      <c r="CK364" s="126"/>
    </row>
    <row r="365" spans="1:89" ht="9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  <c r="BD365" s="126"/>
      <c r="BE365" s="126"/>
      <c r="BF365" s="126"/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26"/>
      <c r="BR365" s="126"/>
      <c r="BS365" s="126"/>
      <c r="BT365" s="126"/>
      <c r="BU365" s="126"/>
      <c r="BV365" s="126"/>
      <c r="BW365" s="126"/>
      <c r="BX365" s="126"/>
      <c r="BY365" s="126"/>
      <c r="BZ365" s="126"/>
      <c r="CA365" s="126"/>
      <c r="CB365" s="126"/>
      <c r="CC365" s="126"/>
      <c r="CD365" s="126"/>
      <c r="CE365" s="126"/>
      <c r="CF365" s="126"/>
      <c r="CG365" s="126"/>
      <c r="CH365" s="126"/>
      <c r="CI365" s="126"/>
      <c r="CJ365" s="126"/>
      <c r="CK365" s="126"/>
    </row>
    <row r="366" spans="1:89" ht="9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  <c r="BD366" s="126"/>
      <c r="BE366" s="126"/>
      <c r="BF366" s="126"/>
      <c r="BG366" s="126"/>
      <c r="BH366" s="126"/>
      <c r="BI366" s="126"/>
      <c r="BJ366" s="126"/>
      <c r="BK366" s="126"/>
      <c r="BL366" s="126"/>
      <c r="BM366" s="126"/>
      <c r="BN366" s="126"/>
      <c r="BO366" s="126"/>
      <c r="BP366" s="126"/>
      <c r="BQ366" s="126"/>
      <c r="BR366" s="126"/>
      <c r="BS366" s="126"/>
      <c r="BT366" s="126"/>
      <c r="BU366" s="126"/>
      <c r="BV366" s="126"/>
      <c r="BW366" s="126"/>
      <c r="BX366" s="126"/>
      <c r="BY366" s="126"/>
      <c r="BZ366" s="126"/>
      <c r="CA366" s="126"/>
      <c r="CB366" s="126"/>
      <c r="CC366" s="126"/>
      <c r="CD366" s="126"/>
      <c r="CE366" s="126"/>
      <c r="CF366" s="126"/>
      <c r="CG366" s="126"/>
      <c r="CH366" s="126"/>
      <c r="CI366" s="126"/>
      <c r="CJ366" s="126"/>
      <c r="CK366" s="126"/>
    </row>
    <row r="367" spans="1:89" ht="9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  <c r="BD367" s="126"/>
      <c r="BE367" s="126"/>
      <c r="BF367" s="126"/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26"/>
      <c r="BR367" s="126"/>
      <c r="BS367" s="126"/>
      <c r="BT367" s="126"/>
      <c r="BU367" s="126"/>
      <c r="BV367" s="126"/>
      <c r="BW367" s="126"/>
      <c r="BX367" s="126"/>
      <c r="BY367" s="126"/>
      <c r="BZ367" s="126"/>
      <c r="CA367" s="126"/>
      <c r="CB367" s="126"/>
      <c r="CC367" s="126"/>
      <c r="CD367" s="126"/>
      <c r="CE367" s="126"/>
      <c r="CF367" s="126"/>
      <c r="CG367" s="126"/>
      <c r="CH367" s="126"/>
      <c r="CI367" s="126"/>
      <c r="CJ367" s="126"/>
      <c r="CK367" s="126"/>
    </row>
    <row r="368" spans="1:89" ht="9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  <c r="BD368" s="126"/>
      <c r="BE368" s="126"/>
      <c r="BF368" s="126"/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26"/>
      <c r="BR368" s="126"/>
      <c r="BS368" s="126"/>
      <c r="BT368" s="126"/>
      <c r="BU368" s="126"/>
      <c r="BV368" s="126"/>
      <c r="BW368" s="126"/>
      <c r="BX368" s="126"/>
      <c r="BY368" s="126"/>
      <c r="BZ368" s="126"/>
      <c r="CA368" s="126"/>
      <c r="CB368" s="126"/>
      <c r="CC368" s="126"/>
      <c r="CD368" s="126"/>
      <c r="CE368" s="126"/>
      <c r="CF368" s="126"/>
      <c r="CG368" s="126"/>
      <c r="CH368" s="126"/>
      <c r="CI368" s="126"/>
      <c r="CJ368" s="126"/>
      <c r="CK368" s="126"/>
    </row>
    <row r="369" spans="1:89" ht="9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  <c r="BD369" s="126"/>
      <c r="BE369" s="126"/>
      <c r="BF369" s="126"/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26"/>
      <c r="BR369" s="126"/>
      <c r="BS369" s="126"/>
      <c r="BT369" s="126"/>
      <c r="BU369" s="126"/>
      <c r="BV369" s="126"/>
      <c r="BW369" s="126"/>
      <c r="BX369" s="126"/>
      <c r="BY369" s="126"/>
      <c r="BZ369" s="126"/>
      <c r="CA369" s="126"/>
      <c r="CB369" s="126"/>
      <c r="CC369" s="126"/>
      <c r="CD369" s="126"/>
      <c r="CE369" s="126"/>
      <c r="CF369" s="126"/>
      <c r="CG369" s="126"/>
      <c r="CH369" s="126"/>
      <c r="CI369" s="126"/>
      <c r="CJ369" s="126"/>
      <c r="CK369" s="126"/>
    </row>
    <row r="370" spans="1:89" ht="9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  <c r="BD370" s="126"/>
      <c r="BE370" s="126"/>
      <c r="BF370" s="126"/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26"/>
      <c r="BR370" s="126"/>
      <c r="BS370" s="126"/>
      <c r="BT370" s="126"/>
      <c r="BU370" s="126"/>
      <c r="BV370" s="126"/>
      <c r="BW370" s="126"/>
      <c r="BX370" s="126"/>
      <c r="BY370" s="126"/>
      <c r="BZ370" s="126"/>
      <c r="CA370" s="126"/>
      <c r="CB370" s="126"/>
      <c r="CC370" s="126"/>
      <c r="CD370" s="126"/>
      <c r="CE370" s="126"/>
      <c r="CF370" s="126"/>
      <c r="CG370" s="126"/>
      <c r="CH370" s="126"/>
      <c r="CI370" s="126"/>
      <c r="CJ370" s="126"/>
      <c r="CK370" s="126"/>
    </row>
    <row r="371" spans="1:89" ht="9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  <c r="BD371" s="126"/>
      <c r="BE371" s="126"/>
      <c r="BF371" s="126"/>
      <c r="BG371" s="126"/>
      <c r="BH371" s="126"/>
      <c r="BI371" s="126"/>
      <c r="BJ371" s="126"/>
      <c r="BK371" s="126"/>
      <c r="BL371" s="126"/>
      <c r="BM371" s="126"/>
      <c r="BN371" s="126"/>
      <c r="BO371" s="126"/>
      <c r="BP371" s="126"/>
      <c r="BQ371" s="126"/>
      <c r="BR371" s="126"/>
      <c r="BS371" s="126"/>
      <c r="BT371" s="126"/>
      <c r="BU371" s="126"/>
      <c r="BV371" s="126"/>
      <c r="BW371" s="126"/>
      <c r="BX371" s="126"/>
      <c r="BY371" s="126"/>
      <c r="BZ371" s="126"/>
      <c r="CA371" s="126"/>
      <c r="CB371" s="126"/>
      <c r="CC371" s="126"/>
      <c r="CD371" s="126"/>
      <c r="CE371" s="126"/>
      <c r="CF371" s="126"/>
      <c r="CG371" s="126"/>
      <c r="CH371" s="126"/>
      <c r="CI371" s="126"/>
      <c r="CJ371" s="126"/>
      <c r="CK371" s="126"/>
    </row>
    <row r="372" spans="1:89" ht="9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  <c r="BD372" s="126"/>
      <c r="BE372" s="126"/>
      <c r="BF372" s="126"/>
      <c r="BG372" s="126"/>
      <c r="BH372" s="126"/>
      <c r="BI372" s="126"/>
      <c r="BJ372" s="126"/>
      <c r="BK372" s="126"/>
      <c r="BL372" s="126"/>
      <c r="BM372" s="126"/>
      <c r="BN372" s="126"/>
      <c r="BO372" s="126"/>
      <c r="BP372" s="126"/>
      <c r="BQ372" s="126"/>
      <c r="BR372" s="126"/>
      <c r="BS372" s="126"/>
      <c r="BT372" s="126"/>
      <c r="BU372" s="126"/>
      <c r="BV372" s="126"/>
      <c r="BW372" s="126"/>
      <c r="BX372" s="126"/>
      <c r="BY372" s="126"/>
      <c r="BZ372" s="126"/>
      <c r="CA372" s="126"/>
      <c r="CB372" s="126"/>
      <c r="CC372" s="126"/>
      <c r="CD372" s="126"/>
      <c r="CE372" s="126"/>
      <c r="CF372" s="126"/>
      <c r="CG372" s="126"/>
      <c r="CH372" s="126"/>
      <c r="CI372" s="126"/>
      <c r="CJ372" s="126"/>
      <c r="CK372" s="126"/>
    </row>
    <row r="373" spans="1:89" ht="9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  <c r="BF373" s="126"/>
      <c r="BG373" s="126"/>
      <c r="BH373" s="126"/>
      <c r="BI373" s="126"/>
      <c r="BJ373" s="126"/>
      <c r="BK373" s="126"/>
      <c r="BL373" s="126"/>
      <c r="BM373" s="126"/>
      <c r="BN373" s="126"/>
      <c r="BO373" s="126"/>
      <c r="BP373" s="126"/>
      <c r="BQ373" s="126"/>
      <c r="BR373" s="126"/>
      <c r="BS373" s="126"/>
      <c r="BT373" s="126"/>
      <c r="BU373" s="126"/>
      <c r="BV373" s="126"/>
      <c r="BW373" s="126"/>
      <c r="BX373" s="126"/>
      <c r="BY373" s="126"/>
      <c r="BZ373" s="126"/>
      <c r="CA373" s="126"/>
      <c r="CB373" s="126"/>
      <c r="CC373" s="126"/>
      <c r="CD373" s="126"/>
      <c r="CE373" s="126"/>
      <c r="CF373" s="126"/>
      <c r="CG373" s="126"/>
      <c r="CH373" s="126"/>
      <c r="CI373" s="126"/>
      <c r="CJ373" s="126"/>
      <c r="CK373" s="126"/>
    </row>
    <row r="374" spans="1:89" ht="9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  <c r="BD374" s="126"/>
      <c r="BE374" s="126"/>
      <c r="BF374" s="126"/>
      <c r="BG374" s="126"/>
      <c r="BH374" s="126"/>
      <c r="BI374" s="126"/>
      <c r="BJ374" s="126"/>
      <c r="BK374" s="126"/>
      <c r="BL374" s="126"/>
      <c r="BM374" s="126"/>
      <c r="BN374" s="126"/>
      <c r="BO374" s="126"/>
      <c r="BP374" s="126"/>
      <c r="BQ374" s="126"/>
      <c r="BR374" s="126"/>
      <c r="BS374" s="126"/>
      <c r="BT374" s="126"/>
      <c r="BU374" s="126"/>
      <c r="BV374" s="126"/>
      <c r="BW374" s="126"/>
      <c r="BX374" s="126"/>
      <c r="BY374" s="126"/>
      <c r="BZ374" s="126"/>
      <c r="CA374" s="126"/>
      <c r="CB374" s="126"/>
      <c r="CC374" s="126"/>
      <c r="CD374" s="126"/>
      <c r="CE374" s="126"/>
      <c r="CF374" s="126"/>
      <c r="CG374" s="126"/>
      <c r="CH374" s="126"/>
      <c r="CI374" s="126"/>
      <c r="CJ374" s="126"/>
      <c r="CK374" s="126"/>
    </row>
    <row r="375" spans="1:89" ht="9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  <c r="BF375" s="126"/>
      <c r="BG375" s="126"/>
      <c r="BH375" s="126"/>
      <c r="BI375" s="126"/>
      <c r="BJ375" s="126"/>
      <c r="BK375" s="126"/>
      <c r="BL375" s="126"/>
      <c r="BM375" s="126"/>
      <c r="BN375" s="126"/>
      <c r="BO375" s="126"/>
      <c r="BP375" s="126"/>
      <c r="BQ375" s="126"/>
      <c r="BR375" s="126"/>
      <c r="BS375" s="126"/>
      <c r="BT375" s="126"/>
      <c r="BU375" s="126"/>
      <c r="BV375" s="126"/>
      <c r="BW375" s="126"/>
      <c r="BX375" s="126"/>
      <c r="BY375" s="126"/>
      <c r="BZ375" s="126"/>
      <c r="CA375" s="126"/>
      <c r="CB375" s="126"/>
      <c r="CC375" s="126"/>
      <c r="CD375" s="126"/>
      <c r="CE375" s="126"/>
      <c r="CF375" s="126"/>
      <c r="CG375" s="126"/>
      <c r="CH375" s="126"/>
      <c r="CI375" s="126"/>
      <c r="CJ375" s="126"/>
      <c r="CK375" s="126"/>
    </row>
    <row r="376" spans="1:89" ht="9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  <c r="BD376" s="126"/>
      <c r="BE376" s="126"/>
      <c r="BF376" s="126"/>
      <c r="BG376" s="126"/>
      <c r="BH376" s="126"/>
      <c r="BI376" s="126"/>
      <c r="BJ376" s="126"/>
      <c r="BK376" s="126"/>
      <c r="BL376" s="126"/>
      <c r="BM376" s="126"/>
      <c r="BN376" s="126"/>
      <c r="BO376" s="126"/>
      <c r="BP376" s="126"/>
      <c r="BQ376" s="126"/>
      <c r="BR376" s="126"/>
      <c r="BS376" s="126"/>
      <c r="BT376" s="126"/>
      <c r="BU376" s="126"/>
      <c r="BV376" s="126"/>
      <c r="BW376" s="126"/>
      <c r="BX376" s="126"/>
      <c r="BY376" s="126"/>
      <c r="BZ376" s="126"/>
      <c r="CA376" s="126"/>
      <c r="CB376" s="126"/>
      <c r="CC376" s="126"/>
      <c r="CD376" s="126"/>
      <c r="CE376" s="126"/>
      <c r="CF376" s="126"/>
      <c r="CG376" s="126"/>
      <c r="CH376" s="126"/>
      <c r="CI376" s="126"/>
      <c r="CJ376" s="126"/>
      <c r="CK376" s="126"/>
    </row>
    <row r="377" spans="1:89" ht="9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  <c r="BF377" s="126"/>
      <c r="BG377" s="126"/>
      <c r="BH377" s="126"/>
      <c r="BI377" s="126"/>
      <c r="BJ377" s="126"/>
      <c r="BK377" s="126"/>
      <c r="BL377" s="126"/>
      <c r="BM377" s="126"/>
      <c r="BN377" s="126"/>
      <c r="BO377" s="126"/>
      <c r="BP377" s="126"/>
      <c r="BQ377" s="126"/>
      <c r="BR377" s="126"/>
      <c r="BS377" s="126"/>
      <c r="BT377" s="126"/>
      <c r="BU377" s="126"/>
      <c r="BV377" s="126"/>
      <c r="BW377" s="126"/>
      <c r="BX377" s="126"/>
      <c r="BY377" s="126"/>
      <c r="BZ377" s="126"/>
      <c r="CA377" s="126"/>
      <c r="CB377" s="126"/>
      <c r="CC377" s="126"/>
      <c r="CD377" s="126"/>
      <c r="CE377" s="126"/>
      <c r="CF377" s="126"/>
      <c r="CG377" s="126"/>
      <c r="CH377" s="126"/>
      <c r="CI377" s="126"/>
      <c r="CJ377" s="126"/>
      <c r="CK377" s="126"/>
    </row>
    <row r="378" spans="1:89" ht="9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  <c r="BD378" s="126"/>
      <c r="BE378" s="126"/>
      <c r="BF378" s="126"/>
      <c r="BG378" s="126"/>
      <c r="BH378" s="126"/>
      <c r="BI378" s="126"/>
      <c r="BJ378" s="126"/>
      <c r="BK378" s="126"/>
      <c r="BL378" s="126"/>
      <c r="BM378" s="126"/>
      <c r="BN378" s="126"/>
      <c r="BO378" s="126"/>
      <c r="BP378" s="126"/>
      <c r="BQ378" s="126"/>
      <c r="BR378" s="126"/>
      <c r="BS378" s="126"/>
      <c r="BT378" s="126"/>
      <c r="BU378" s="126"/>
      <c r="BV378" s="126"/>
      <c r="BW378" s="126"/>
      <c r="BX378" s="126"/>
      <c r="BY378" s="126"/>
      <c r="BZ378" s="126"/>
      <c r="CA378" s="126"/>
      <c r="CB378" s="126"/>
      <c r="CC378" s="126"/>
      <c r="CD378" s="126"/>
      <c r="CE378" s="126"/>
      <c r="CF378" s="126"/>
      <c r="CG378" s="126"/>
      <c r="CH378" s="126"/>
      <c r="CI378" s="126"/>
      <c r="CJ378" s="126"/>
      <c r="CK378" s="126"/>
    </row>
    <row r="379" spans="1:89" ht="9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  <c r="BF379" s="126"/>
      <c r="BG379" s="126"/>
      <c r="BH379" s="126"/>
      <c r="BI379" s="126"/>
      <c r="BJ379" s="126"/>
      <c r="BK379" s="126"/>
      <c r="BL379" s="126"/>
      <c r="BM379" s="126"/>
      <c r="BN379" s="126"/>
      <c r="BO379" s="126"/>
      <c r="BP379" s="126"/>
      <c r="BQ379" s="126"/>
      <c r="BR379" s="126"/>
      <c r="BS379" s="126"/>
      <c r="BT379" s="126"/>
      <c r="BU379" s="126"/>
      <c r="BV379" s="126"/>
      <c r="BW379" s="126"/>
      <c r="BX379" s="126"/>
      <c r="BY379" s="126"/>
      <c r="BZ379" s="126"/>
      <c r="CA379" s="126"/>
      <c r="CB379" s="126"/>
      <c r="CC379" s="126"/>
      <c r="CD379" s="126"/>
      <c r="CE379" s="126"/>
      <c r="CF379" s="126"/>
      <c r="CG379" s="126"/>
      <c r="CH379" s="126"/>
      <c r="CI379" s="126"/>
      <c r="CJ379" s="126"/>
      <c r="CK379" s="126"/>
    </row>
    <row r="380" spans="1:89" ht="9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  <c r="BD380" s="126"/>
      <c r="BE380" s="126"/>
      <c r="BF380" s="126"/>
      <c r="BG380" s="126"/>
      <c r="BH380" s="126"/>
      <c r="BI380" s="126"/>
      <c r="BJ380" s="126"/>
      <c r="BK380" s="126"/>
      <c r="BL380" s="126"/>
      <c r="BM380" s="126"/>
      <c r="BN380" s="126"/>
      <c r="BO380" s="126"/>
      <c r="BP380" s="126"/>
      <c r="BQ380" s="126"/>
      <c r="BR380" s="126"/>
      <c r="BS380" s="126"/>
      <c r="BT380" s="126"/>
      <c r="BU380" s="126"/>
      <c r="BV380" s="126"/>
      <c r="BW380" s="126"/>
      <c r="BX380" s="126"/>
      <c r="BY380" s="126"/>
      <c r="BZ380" s="126"/>
      <c r="CA380" s="126"/>
      <c r="CB380" s="126"/>
      <c r="CC380" s="126"/>
      <c r="CD380" s="126"/>
      <c r="CE380" s="126"/>
      <c r="CF380" s="126"/>
      <c r="CG380" s="126"/>
      <c r="CH380" s="126"/>
      <c r="CI380" s="126"/>
      <c r="CJ380" s="126"/>
      <c r="CK380" s="126"/>
    </row>
    <row r="381" spans="1:89" ht="9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  <c r="BD381" s="126"/>
      <c r="BE381" s="126"/>
      <c r="BF381" s="126"/>
      <c r="BG381" s="126"/>
      <c r="BH381" s="126"/>
      <c r="BI381" s="126"/>
      <c r="BJ381" s="126"/>
      <c r="BK381" s="126"/>
      <c r="BL381" s="126"/>
      <c r="BM381" s="126"/>
      <c r="BN381" s="126"/>
      <c r="BO381" s="126"/>
      <c r="BP381" s="126"/>
      <c r="BQ381" s="126"/>
      <c r="BR381" s="126"/>
      <c r="BS381" s="126"/>
      <c r="BT381" s="126"/>
      <c r="BU381" s="126"/>
      <c r="BV381" s="126"/>
      <c r="BW381" s="126"/>
      <c r="BX381" s="126"/>
      <c r="BY381" s="126"/>
      <c r="BZ381" s="126"/>
      <c r="CA381" s="126"/>
      <c r="CB381" s="126"/>
      <c r="CC381" s="126"/>
      <c r="CD381" s="126"/>
      <c r="CE381" s="126"/>
      <c r="CF381" s="126"/>
      <c r="CG381" s="126"/>
      <c r="CH381" s="126"/>
      <c r="CI381" s="126"/>
      <c r="CJ381" s="126"/>
      <c r="CK381" s="126"/>
    </row>
    <row r="382" spans="1:89" ht="9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  <c r="BD382" s="126"/>
      <c r="BE382" s="126"/>
      <c r="BF382" s="126"/>
      <c r="BG382" s="126"/>
      <c r="BH382" s="126"/>
      <c r="BI382" s="126"/>
      <c r="BJ382" s="126"/>
      <c r="BK382" s="126"/>
      <c r="BL382" s="126"/>
      <c r="BM382" s="126"/>
      <c r="BN382" s="126"/>
      <c r="BO382" s="126"/>
      <c r="BP382" s="126"/>
      <c r="BQ382" s="126"/>
      <c r="BR382" s="126"/>
      <c r="BS382" s="126"/>
      <c r="BT382" s="126"/>
      <c r="BU382" s="126"/>
      <c r="BV382" s="126"/>
      <c r="BW382" s="126"/>
      <c r="BX382" s="126"/>
      <c r="BY382" s="126"/>
      <c r="BZ382" s="126"/>
      <c r="CA382" s="126"/>
      <c r="CB382" s="126"/>
      <c r="CC382" s="126"/>
      <c r="CD382" s="126"/>
      <c r="CE382" s="126"/>
      <c r="CF382" s="126"/>
      <c r="CG382" s="126"/>
      <c r="CH382" s="126"/>
      <c r="CI382" s="126"/>
      <c r="CJ382" s="126"/>
      <c r="CK382" s="126"/>
    </row>
    <row r="383" spans="1:89" ht="9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  <c r="BD383" s="126"/>
      <c r="BE383" s="126"/>
      <c r="BF383" s="126"/>
      <c r="BG383" s="126"/>
      <c r="BH383" s="126"/>
      <c r="BI383" s="126"/>
      <c r="BJ383" s="126"/>
      <c r="BK383" s="126"/>
      <c r="BL383" s="126"/>
      <c r="BM383" s="126"/>
      <c r="BN383" s="126"/>
      <c r="BO383" s="126"/>
      <c r="BP383" s="126"/>
      <c r="BQ383" s="126"/>
      <c r="BR383" s="126"/>
      <c r="BS383" s="126"/>
      <c r="BT383" s="126"/>
      <c r="BU383" s="126"/>
      <c r="BV383" s="126"/>
      <c r="BW383" s="126"/>
      <c r="BX383" s="126"/>
      <c r="BY383" s="126"/>
      <c r="BZ383" s="126"/>
      <c r="CA383" s="126"/>
      <c r="CB383" s="126"/>
      <c r="CC383" s="126"/>
      <c r="CD383" s="126"/>
      <c r="CE383" s="126"/>
      <c r="CF383" s="126"/>
      <c r="CG383" s="126"/>
      <c r="CH383" s="126"/>
      <c r="CI383" s="126"/>
      <c r="CJ383" s="126"/>
      <c r="CK383" s="126"/>
    </row>
    <row r="384" spans="1:89" ht="9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  <c r="BD384" s="126"/>
      <c r="BE384" s="126"/>
      <c r="BF384" s="126"/>
      <c r="BG384" s="126"/>
      <c r="BH384" s="126"/>
      <c r="BI384" s="126"/>
      <c r="BJ384" s="126"/>
      <c r="BK384" s="126"/>
      <c r="BL384" s="126"/>
      <c r="BM384" s="126"/>
      <c r="BN384" s="126"/>
      <c r="BO384" s="126"/>
      <c r="BP384" s="126"/>
      <c r="BQ384" s="126"/>
      <c r="BR384" s="126"/>
      <c r="BS384" s="126"/>
      <c r="BT384" s="126"/>
      <c r="BU384" s="126"/>
      <c r="BV384" s="126"/>
      <c r="BW384" s="126"/>
      <c r="BX384" s="126"/>
      <c r="BY384" s="126"/>
      <c r="BZ384" s="126"/>
      <c r="CA384" s="126"/>
      <c r="CB384" s="126"/>
      <c r="CC384" s="126"/>
      <c r="CD384" s="126"/>
      <c r="CE384" s="126"/>
      <c r="CF384" s="126"/>
      <c r="CG384" s="126"/>
      <c r="CH384" s="126"/>
      <c r="CI384" s="126"/>
      <c r="CJ384" s="126"/>
      <c r="CK384" s="126"/>
    </row>
    <row r="385" spans="1:89" ht="9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  <c r="BF385" s="126"/>
      <c r="BG385" s="126"/>
      <c r="BH385" s="126"/>
      <c r="BI385" s="126"/>
      <c r="BJ385" s="126"/>
      <c r="BK385" s="126"/>
      <c r="BL385" s="126"/>
      <c r="BM385" s="126"/>
      <c r="BN385" s="126"/>
      <c r="BO385" s="126"/>
      <c r="BP385" s="126"/>
      <c r="BQ385" s="126"/>
      <c r="BR385" s="126"/>
      <c r="BS385" s="126"/>
      <c r="BT385" s="126"/>
      <c r="BU385" s="126"/>
      <c r="BV385" s="126"/>
      <c r="BW385" s="126"/>
      <c r="BX385" s="126"/>
      <c r="BY385" s="126"/>
      <c r="BZ385" s="126"/>
      <c r="CA385" s="126"/>
      <c r="CB385" s="126"/>
      <c r="CC385" s="126"/>
      <c r="CD385" s="126"/>
      <c r="CE385" s="126"/>
      <c r="CF385" s="126"/>
      <c r="CG385" s="126"/>
      <c r="CH385" s="126"/>
      <c r="CI385" s="126"/>
      <c r="CJ385" s="126"/>
      <c r="CK385" s="126"/>
    </row>
    <row r="386" spans="1:89" ht="9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  <c r="BD386" s="126"/>
      <c r="BE386" s="126"/>
      <c r="BF386" s="126"/>
      <c r="BG386" s="126"/>
      <c r="BH386" s="126"/>
      <c r="BI386" s="126"/>
      <c r="BJ386" s="126"/>
      <c r="BK386" s="126"/>
      <c r="BL386" s="126"/>
      <c r="BM386" s="126"/>
      <c r="BN386" s="126"/>
      <c r="BO386" s="126"/>
      <c r="BP386" s="126"/>
      <c r="BQ386" s="126"/>
      <c r="BR386" s="126"/>
      <c r="BS386" s="126"/>
      <c r="BT386" s="126"/>
      <c r="BU386" s="126"/>
      <c r="BV386" s="126"/>
      <c r="BW386" s="126"/>
      <c r="BX386" s="126"/>
      <c r="BY386" s="126"/>
      <c r="BZ386" s="126"/>
      <c r="CA386" s="126"/>
      <c r="CB386" s="126"/>
      <c r="CC386" s="126"/>
      <c r="CD386" s="126"/>
      <c r="CE386" s="126"/>
      <c r="CF386" s="126"/>
      <c r="CG386" s="126"/>
      <c r="CH386" s="126"/>
      <c r="CI386" s="126"/>
      <c r="CJ386" s="126"/>
      <c r="CK386" s="126"/>
    </row>
    <row r="387" spans="1:89" ht="9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  <c r="BD387" s="126"/>
      <c r="BE387" s="126"/>
      <c r="BF387" s="126"/>
      <c r="BG387" s="126"/>
      <c r="BH387" s="126"/>
      <c r="BI387" s="126"/>
      <c r="BJ387" s="126"/>
      <c r="BK387" s="126"/>
      <c r="BL387" s="126"/>
      <c r="BM387" s="126"/>
      <c r="BN387" s="126"/>
      <c r="BO387" s="126"/>
      <c r="BP387" s="126"/>
      <c r="BQ387" s="126"/>
      <c r="BR387" s="126"/>
      <c r="BS387" s="126"/>
      <c r="BT387" s="126"/>
      <c r="BU387" s="126"/>
      <c r="BV387" s="126"/>
      <c r="BW387" s="126"/>
      <c r="BX387" s="126"/>
      <c r="BY387" s="126"/>
      <c r="BZ387" s="126"/>
      <c r="CA387" s="126"/>
      <c r="CB387" s="126"/>
      <c r="CC387" s="126"/>
      <c r="CD387" s="126"/>
      <c r="CE387" s="126"/>
      <c r="CF387" s="126"/>
      <c r="CG387" s="126"/>
      <c r="CH387" s="126"/>
      <c r="CI387" s="126"/>
      <c r="CJ387" s="126"/>
      <c r="CK387" s="126"/>
    </row>
    <row r="388" spans="1:89" ht="9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  <c r="BD388" s="126"/>
      <c r="BE388" s="126"/>
      <c r="BF388" s="126"/>
      <c r="BG388" s="126"/>
      <c r="BH388" s="126"/>
      <c r="BI388" s="126"/>
      <c r="BJ388" s="126"/>
      <c r="BK388" s="126"/>
      <c r="BL388" s="126"/>
      <c r="BM388" s="126"/>
      <c r="BN388" s="126"/>
      <c r="BO388" s="126"/>
      <c r="BP388" s="126"/>
      <c r="BQ388" s="126"/>
      <c r="BR388" s="126"/>
      <c r="BS388" s="126"/>
      <c r="BT388" s="126"/>
      <c r="BU388" s="126"/>
      <c r="BV388" s="126"/>
      <c r="BW388" s="126"/>
      <c r="BX388" s="126"/>
      <c r="BY388" s="126"/>
      <c r="BZ388" s="126"/>
      <c r="CA388" s="126"/>
      <c r="CB388" s="126"/>
      <c r="CC388" s="126"/>
      <c r="CD388" s="126"/>
      <c r="CE388" s="126"/>
      <c r="CF388" s="126"/>
      <c r="CG388" s="126"/>
      <c r="CH388" s="126"/>
      <c r="CI388" s="126"/>
      <c r="CJ388" s="126"/>
      <c r="CK388" s="126"/>
    </row>
    <row r="389" spans="1:89" ht="9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  <c r="BF389" s="126"/>
      <c r="BG389" s="126"/>
      <c r="BH389" s="126"/>
      <c r="BI389" s="126"/>
      <c r="BJ389" s="126"/>
      <c r="BK389" s="126"/>
      <c r="BL389" s="126"/>
      <c r="BM389" s="126"/>
      <c r="BN389" s="126"/>
      <c r="BO389" s="126"/>
      <c r="BP389" s="126"/>
      <c r="BQ389" s="126"/>
      <c r="BR389" s="126"/>
      <c r="BS389" s="126"/>
      <c r="BT389" s="126"/>
      <c r="BU389" s="126"/>
      <c r="BV389" s="126"/>
      <c r="BW389" s="126"/>
      <c r="BX389" s="126"/>
      <c r="BY389" s="126"/>
      <c r="BZ389" s="126"/>
      <c r="CA389" s="126"/>
      <c r="CB389" s="126"/>
      <c r="CC389" s="126"/>
      <c r="CD389" s="126"/>
      <c r="CE389" s="126"/>
      <c r="CF389" s="126"/>
      <c r="CG389" s="126"/>
      <c r="CH389" s="126"/>
      <c r="CI389" s="126"/>
      <c r="CJ389" s="126"/>
      <c r="CK389" s="126"/>
    </row>
    <row r="390" spans="1:89" ht="9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  <c r="BF390" s="126"/>
      <c r="BG390" s="126"/>
      <c r="BH390" s="126"/>
      <c r="BI390" s="126"/>
      <c r="BJ390" s="126"/>
      <c r="BK390" s="126"/>
      <c r="BL390" s="126"/>
      <c r="BM390" s="126"/>
      <c r="BN390" s="126"/>
      <c r="BO390" s="126"/>
      <c r="BP390" s="126"/>
      <c r="BQ390" s="126"/>
      <c r="BR390" s="126"/>
      <c r="BS390" s="126"/>
      <c r="BT390" s="126"/>
      <c r="BU390" s="126"/>
      <c r="BV390" s="126"/>
      <c r="BW390" s="126"/>
      <c r="BX390" s="126"/>
      <c r="BY390" s="126"/>
      <c r="BZ390" s="126"/>
      <c r="CA390" s="126"/>
      <c r="CB390" s="126"/>
      <c r="CC390" s="126"/>
      <c r="CD390" s="126"/>
      <c r="CE390" s="126"/>
      <c r="CF390" s="126"/>
      <c r="CG390" s="126"/>
      <c r="CH390" s="126"/>
      <c r="CI390" s="126"/>
      <c r="CJ390" s="126"/>
      <c r="CK390" s="126"/>
    </row>
    <row r="391" spans="1:89" ht="9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  <c r="BF391" s="126"/>
      <c r="BG391" s="126"/>
      <c r="BH391" s="126"/>
      <c r="BI391" s="126"/>
      <c r="BJ391" s="126"/>
      <c r="BK391" s="126"/>
      <c r="BL391" s="126"/>
      <c r="BM391" s="126"/>
      <c r="BN391" s="126"/>
      <c r="BO391" s="126"/>
      <c r="BP391" s="126"/>
      <c r="BQ391" s="126"/>
      <c r="BR391" s="126"/>
      <c r="BS391" s="126"/>
      <c r="BT391" s="126"/>
      <c r="BU391" s="126"/>
      <c r="BV391" s="126"/>
      <c r="BW391" s="126"/>
      <c r="BX391" s="126"/>
      <c r="BY391" s="126"/>
      <c r="BZ391" s="126"/>
      <c r="CA391" s="126"/>
      <c r="CB391" s="126"/>
      <c r="CC391" s="126"/>
      <c r="CD391" s="126"/>
      <c r="CE391" s="126"/>
      <c r="CF391" s="126"/>
      <c r="CG391" s="126"/>
      <c r="CH391" s="126"/>
      <c r="CI391" s="126"/>
      <c r="CJ391" s="126"/>
      <c r="CK391" s="126"/>
    </row>
    <row r="392" spans="1:89" ht="9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  <c r="BK392" s="126"/>
      <c r="BL392" s="126"/>
      <c r="BM392" s="126"/>
      <c r="BN392" s="126"/>
      <c r="BO392" s="126"/>
      <c r="BP392" s="126"/>
      <c r="BQ392" s="126"/>
      <c r="BR392" s="126"/>
      <c r="BS392" s="126"/>
      <c r="BT392" s="126"/>
      <c r="BU392" s="126"/>
      <c r="BV392" s="126"/>
      <c r="BW392" s="126"/>
      <c r="BX392" s="126"/>
      <c r="BY392" s="126"/>
      <c r="BZ392" s="126"/>
      <c r="CA392" s="126"/>
      <c r="CB392" s="126"/>
      <c r="CC392" s="126"/>
      <c r="CD392" s="126"/>
      <c r="CE392" s="126"/>
      <c r="CF392" s="126"/>
      <c r="CG392" s="126"/>
      <c r="CH392" s="126"/>
      <c r="CI392" s="126"/>
      <c r="CJ392" s="126"/>
      <c r="CK392" s="126"/>
    </row>
    <row r="393" spans="1:89" ht="9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  <c r="BF393" s="126"/>
      <c r="BG393" s="126"/>
      <c r="BH393" s="126"/>
      <c r="BI393" s="126"/>
      <c r="BJ393" s="126"/>
      <c r="BK393" s="126"/>
      <c r="BL393" s="126"/>
      <c r="BM393" s="126"/>
      <c r="BN393" s="126"/>
      <c r="BO393" s="126"/>
      <c r="BP393" s="126"/>
      <c r="BQ393" s="126"/>
      <c r="BR393" s="126"/>
      <c r="BS393" s="126"/>
      <c r="BT393" s="126"/>
      <c r="BU393" s="126"/>
      <c r="BV393" s="126"/>
      <c r="BW393" s="126"/>
      <c r="BX393" s="126"/>
      <c r="BY393" s="126"/>
      <c r="BZ393" s="126"/>
      <c r="CA393" s="126"/>
      <c r="CB393" s="126"/>
      <c r="CC393" s="126"/>
      <c r="CD393" s="126"/>
      <c r="CE393" s="126"/>
      <c r="CF393" s="126"/>
      <c r="CG393" s="126"/>
      <c r="CH393" s="126"/>
      <c r="CI393" s="126"/>
      <c r="CJ393" s="126"/>
      <c r="CK393" s="126"/>
    </row>
    <row r="394" spans="1:89" ht="9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  <c r="BF394" s="126"/>
      <c r="BG394" s="126"/>
      <c r="BH394" s="126"/>
      <c r="BI394" s="126"/>
      <c r="BJ394" s="126"/>
      <c r="BK394" s="126"/>
      <c r="BL394" s="126"/>
      <c r="BM394" s="126"/>
      <c r="BN394" s="126"/>
      <c r="BO394" s="126"/>
      <c r="BP394" s="126"/>
      <c r="BQ394" s="126"/>
      <c r="BR394" s="126"/>
      <c r="BS394" s="126"/>
      <c r="BT394" s="126"/>
      <c r="BU394" s="126"/>
      <c r="BV394" s="126"/>
      <c r="BW394" s="126"/>
      <c r="BX394" s="126"/>
      <c r="BY394" s="126"/>
      <c r="BZ394" s="126"/>
      <c r="CA394" s="126"/>
      <c r="CB394" s="126"/>
      <c r="CC394" s="126"/>
      <c r="CD394" s="126"/>
      <c r="CE394" s="126"/>
      <c r="CF394" s="126"/>
      <c r="CG394" s="126"/>
      <c r="CH394" s="126"/>
      <c r="CI394" s="126"/>
      <c r="CJ394" s="126"/>
      <c r="CK394" s="126"/>
    </row>
    <row r="395" spans="1:89" ht="9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  <c r="BK395" s="126"/>
      <c r="BL395" s="126"/>
      <c r="BM395" s="126"/>
      <c r="BN395" s="126"/>
      <c r="BO395" s="126"/>
      <c r="BP395" s="126"/>
      <c r="BQ395" s="126"/>
      <c r="BR395" s="126"/>
      <c r="BS395" s="126"/>
      <c r="BT395" s="126"/>
      <c r="BU395" s="126"/>
      <c r="BV395" s="126"/>
      <c r="BW395" s="126"/>
      <c r="BX395" s="126"/>
      <c r="BY395" s="126"/>
      <c r="BZ395" s="126"/>
      <c r="CA395" s="126"/>
      <c r="CB395" s="126"/>
      <c r="CC395" s="126"/>
      <c r="CD395" s="126"/>
      <c r="CE395" s="126"/>
      <c r="CF395" s="126"/>
      <c r="CG395" s="126"/>
      <c r="CH395" s="126"/>
      <c r="CI395" s="126"/>
      <c r="CJ395" s="126"/>
      <c r="CK395" s="126"/>
    </row>
    <row r="396" spans="1:89" ht="9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  <c r="BF396" s="126"/>
      <c r="BG396" s="126"/>
      <c r="BH396" s="126"/>
      <c r="BI396" s="126"/>
      <c r="BJ396" s="126"/>
      <c r="BK396" s="126"/>
      <c r="BL396" s="126"/>
      <c r="BM396" s="126"/>
      <c r="BN396" s="126"/>
      <c r="BO396" s="126"/>
      <c r="BP396" s="126"/>
      <c r="BQ396" s="126"/>
      <c r="BR396" s="126"/>
      <c r="BS396" s="126"/>
      <c r="BT396" s="126"/>
      <c r="BU396" s="126"/>
      <c r="BV396" s="126"/>
      <c r="BW396" s="126"/>
      <c r="BX396" s="126"/>
      <c r="BY396" s="126"/>
      <c r="BZ396" s="126"/>
      <c r="CA396" s="126"/>
      <c r="CB396" s="126"/>
      <c r="CC396" s="126"/>
      <c r="CD396" s="126"/>
      <c r="CE396" s="126"/>
      <c r="CF396" s="126"/>
      <c r="CG396" s="126"/>
      <c r="CH396" s="126"/>
      <c r="CI396" s="126"/>
      <c r="CJ396" s="126"/>
      <c r="CK396" s="126"/>
    </row>
    <row r="397" spans="1:89" ht="9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  <c r="BF397" s="126"/>
      <c r="BG397" s="126"/>
      <c r="BH397" s="126"/>
      <c r="BI397" s="126"/>
      <c r="BJ397" s="126"/>
      <c r="BK397" s="126"/>
      <c r="BL397" s="126"/>
      <c r="BM397" s="126"/>
      <c r="BN397" s="126"/>
      <c r="BO397" s="126"/>
      <c r="BP397" s="126"/>
      <c r="BQ397" s="126"/>
      <c r="BR397" s="126"/>
      <c r="BS397" s="126"/>
      <c r="BT397" s="126"/>
      <c r="BU397" s="126"/>
      <c r="BV397" s="126"/>
      <c r="BW397" s="126"/>
      <c r="BX397" s="126"/>
      <c r="BY397" s="126"/>
      <c r="BZ397" s="126"/>
      <c r="CA397" s="126"/>
      <c r="CB397" s="126"/>
      <c r="CC397" s="126"/>
      <c r="CD397" s="126"/>
      <c r="CE397" s="126"/>
      <c r="CF397" s="126"/>
      <c r="CG397" s="126"/>
      <c r="CH397" s="126"/>
      <c r="CI397" s="126"/>
      <c r="CJ397" s="126"/>
      <c r="CK397" s="126"/>
    </row>
    <row r="398" spans="1:89" ht="9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  <c r="BF398" s="126"/>
      <c r="BG398" s="126"/>
      <c r="BH398" s="126"/>
      <c r="BI398" s="126"/>
      <c r="BJ398" s="126"/>
      <c r="BK398" s="126"/>
      <c r="BL398" s="126"/>
      <c r="BM398" s="126"/>
      <c r="BN398" s="126"/>
      <c r="BO398" s="126"/>
      <c r="BP398" s="126"/>
      <c r="BQ398" s="126"/>
      <c r="BR398" s="126"/>
      <c r="BS398" s="126"/>
      <c r="BT398" s="126"/>
      <c r="BU398" s="126"/>
      <c r="BV398" s="126"/>
      <c r="BW398" s="126"/>
      <c r="BX398" s="126"/>
      <c r="BY398" s="126"/>
      <c r="BZ398" s="126"/>
      <c r="CA398" s="126"/>
      <c r="CB398" s="126"/>
      <c r="CC398" s="126"/>
      <c r="CD398" s="126"/>
      <c r="CE398" s="126"/>
      <c r="CF398" s="126"/>
      <c r="CG398" s="126"/>
      <c r="CH398" s="126"/>
      <c r="CI398" s="126"/>
      <c r="CJ398" s="126"/>
      <c r="CK398" s="126"/>
    </row>
    <row r="399" spans="1:89" ht="9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  <c r="BF399" s="126"/>
      <c r="BG399" s="126"/>
      <c r="BH399" s="126"/>
      <c r="BI399" s="126"/>
      <c r="BJ399" s="126"/>
      <c r="BK399" s="126"/>
      <c r="BL399" s="126"/>
      <c r="BM399" s="126"/>
      <c r="BN399" s="126"/>
      <c r="BO399" s="126"/>
      <c r="BP399" s="126"/>
      <c r="BQ399" s="126"/>
      <c r="BR399" s="126"/>
      <c r="BS399" s="126"/>
      <c r="BT399" s="126"/>
      <c r="BU399" s="126"/>
      <c r="BV399" s="126"/>
      <c r="BW399" s="126"/>
      <c r="BX399" s="126"/>
      <c r="BY399" s="126"/>
      <c r="BZ399" s="126"/>
      <c r="CA399" s="126"/>
      <c r="CB399" s="126"/>
      <c r="CC399" s="126"/>
      <c r="CD399" s="126"/>
      <c r="CE399" s="126"/>
      <c r="CF399" s="126"/>
      <c r="CG399" s="126"/>
      <c r="CH399" s="126"/>
      <c r="CI399" s="126"/>
      <c r="CJ399" s="126"/>
      <c r="CK399" s="126"/>
    </row>
    <row r="400" spans="1:89" ht="9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  <c r="BF400" s="126"/>
      <c r="BG400" s="126"/>
      <c r="BH400" s="126"/>
      <c r="BI400" s="126"/>
      <c r="BJ400" s="126"/>
      <c r="BK400" s="126"/>
      <c r="BL400" s="126"/>
      <c r="BM400" s="126"/>
      <c r="BN400" s="126"/>
      <c r="BO400" s="126"/>
      <c r="BP400" s="126"/>
      <c r="BQ400" s="126"/>
      <c r="BR400" s="126"/>
      <c r="BS400" s="126"/>
      <c r="BT400" s="126"/>
      <c r="BU400" s="126"/>
      <c r="BV400" s="126"/>
      <c r="BW400" s="126"/>
      <c r="BX400" s="126"/>
      <c r="BY400" s="126"/>
      <c r="BZ400" s="126"/>
      <c r="CA400" s="126"/>
      <c r="CB400" s="126"/>
      <c r="CC400" s="126"/>
      <c r="CD400" s="126"/>
      <c r="CE400" s="126"/>
      <c r="CF400" s="126"/>
      <c r="CG400" s="126"/>
      <c r="CH400" s="126"/>
      <c r="CI400" s="126"/>
      <c r="CJ400" s="126"/>
      <c r="CK400" s="126"/>
    </row>
    <row r="401" spans="1:89" ht="9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  <c r="BK401" s="126"/>
      <c r="BL401" s="126"/>
      <c r="BM401" s="126"/>
      <c r="BN401" s="126"/>
      <c r="BO401" s="126"/>
      <c r="BP401" s="126"/>
      <c r="BQ401" s="126"/>
      <c r="BR401" s="126"/>
      <c r="BS401" s="126"/>
      <c r="BT401" s="126"/>
      <c r="BU401" s="126"/>
      <c r="BV401" s="126"/>
      <c r="BW401" s="126"/>
      <c r="BX401" s="126"/>
      <c r="BY401" s="126"/>
      <c r="BZ401" s="126"/>
      <c r="CA401" s="126"/>
      <c r="CB401" s="126"/>
      <c r="CC401" s="126"/>
      <c r="CD401" s="126"/>
      <c r="CE401" s="126"/>
      <c r="CF401" s="126"/>
      <c r="CG401" s="126"/>
      <c r="CH401" s="126"/>
      <c r="CI401" s="126"/>
      <c r="CJ401" s="126"/>
      <c r="CK401" s="126"/>
    </row>
    <row r="402" spans="1:89" ht="9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  <c r="BF402" s="126"/>
      <c r="BG402" s="126"/>
      <c r="BH402" s="126"/>
      <c r="BI402" s="126"/>
      <c r="BJ402" s="126"/>
      <c r="BK402" s="126"/>
      <c r="BL402" s="126"/>
      <c r="BM402" s="126"/>
      <c r="BN402" s="126"/>
      <c r="BO402" s="126"/>
      <c r="BP402" s="126"/>
      <c r="BQ402" s="126"/>
      <c r="BR402" s="126"/>
      <c r="BS402" s="126"/>
      <c r="BT402" s="126"/>
      <c r="BU402" s="126"/>
      <c r="BV402" s="126"/>
      <c r="BW402" s="126"/>
      <c r="BX402" s="126"/>
      <c r="BY402" s="126"/>
      <c r="BZ402" s="126"/>
      <c r="CA402" s="126"/>
      <c r="CB402" s="126"/>
      <c r="CC402" s="126"/>
      <c r="CD402" s="126"/>
      <c r="CE402" s="126"/>
      <c r="CF402" s="126"/>
      <c r="CG402" s="126"/>
      <c r="CH402" s="126"/>
      <c r="CI402" s="126"/>
      <c r="CJ402" s="126"/>
      <c r="CK402" s="126"/>
    </row>
    <row r="403" spans="1:89" ht="9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  <c r="BF403" s="126"/>
      <c r="BG403" s="126"/>
      <c r="BH403" s="126"/>
      <c r="BI403" s="126"/>
      <c r="BJ403" s="126"/>
      <c r="BK403" s="126"/>
      <c r="BL403" s="126"/>
      <c r="BM403" s="126"/>
      <c r="BN403" s="126"/>
      <c r="BO403" s="126"/>
      <c r="BP403" s="126"/>
      <c r="BQ403" s="126"/>
      <c r="BR403" s="126"/>
      <c r="BS403" s="126"/>
      <c r="BT403" s="126"/>
      <c r="BU403" s="126"/>
      <c r="BV403" s="126"/>
      <c r="BW403" s="126"/>
      <c r="BX403" s="126"/>
      <c r="BY403" s="126"/>
      <c r="BZ403" s="126"/>
      <c r="CA403" s="126"/>
      <c r="CB403" s="126"/>
      <c r="CC403" s="126"/>
      <c r="CD403" s="126"/>
      <c r="CE403" s="126"/>
      <c r="CF403" s="126"/>
      <c r="CG403" s="126"/>
      <c r="CH403" s="126"/>
      <c r="CI403" s="126"/>
      <c r="CJ403" s="126"/>
      <c r="CK403" s="126"/>
    </row>
    <row r="404" spans="1:89" ht="9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  <c r="BK404" s="126"/>
      <c r="BL404" s="126"/>
      <c r="BM404" s="126"/>
      <c r="BN404" s="126"/>
      <c r="BO404" s="126"/>
      <c r="BP404" s="126"/>
      <c r="BQ404" s="126"/>
      <c r="BR404" s="126"/>
      <c r="BS404" s="126"/>
      <c r="BT404" s="126"/>
      <c r="BU404" s="126"/>
      <c r="BV404" s="126"/>
      <c r="BW404" s="126"/>
      <c r="BX404" s="126"/>
      <c r="BY404" s="126"/>
      <c r="BZ404" s="126"/>
      <c r="CA404" s="126"/>
      <c r="CB404" s="126"/>
      <c r="CC404" s="126"/>
      <c r="CD404" s="126"/>
      <c r="CE404" s="126"/>
      <c r="CF404" s="126"/>
      <c r="CG404" s="126"/>
      <c r="CH404" s="126"/>
      <c r="CI404" s="126"/>
      <c r="CJ404" s="126"/>
      <c r="CK404" s="126"/>
    </row>
    <row r="405" spans="1:89" ht="9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  <c r="BK405" s="126"/>
      <c r="BL405" s="126"/>
      <c r="BM405" s="126"/>
      <c r="BN405" s="126"/>
      <c r="BO405" s="126"/>
      <c r="BP405" s="126"/>
      <c r="BQ405" s="126"/>
      <c r="BR405" s="126"/>
      <c r="BS405" s="126"/>
      <c r="BT405" s="126"/>
      <c r="BU405" s="126"/>
      <c r="BV405" s="126"/>
      <c r="BW405" s="126"/>
      <c r="BX405" s="126"/>
      <c r="BY405" s="126"/>
      <c r="BZ405" s="126"/>
      <c r="CA405" s="126"/>
      <c r="CB405" s="126"/>
      <c r="CC405" s="126"/>
      <c r="CD405" s="126"/>
      <c r="CE405" s="126"/>
      <c r="CF405" s="126"/>
      <c r="CG405" s="126"/>
      <c r="CH405" s="126"/>
      <c r="CI405" s="126"/>
      <c r="CJ405" s="126"/>
      <c r="CK405" s="126"/>
    </row>
    <row r="406" spans="1:89" ht="9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  <c r="BK406" s="126"/>
      <c r="BL406" s="126"/>
      <c r="BM406" s="126"/>
      <c r="BN406" s="126"/>
      <c r="BO406" s="126"/>
      <c r="BP406" s="126"/>
      <c r="BQ406" s="126"/>
      <c r="BR406" s="126"/>
      <c r="BS406" s="126"/>
      <c r="BT406" s="126"/>
      <c r="BU406" s="126"/>
      <c r="BV406" s="126"/>
      <c r="BW406" s="126"/>
      <c r="BX406" s="126"/>
      <c r="BY406" s="126"/>
      <c r="BZ406" s="126"/>
      <c r="CA406" s="126"/>
      <c r="CB406" s="126"/>
      <c r="CC406" s="126"/>
      <c r="CD406" s="126"/>
      <c r="CE406" s="126"/>
      <c r="CF406" s="126"/>
      <c r="CG406" s="126"/>
      <c r="CH406" s="126"/>
      <c r="CI406" s="126"/>
      <c r="CJ406" s="126"/>
      <c r="CK406" s="126"/>
    </row>
    <row r="407" spans="1:89" ht="9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  <c r="BK407" s="126"/>
      <c r="BL407" s="126"/>
      <c r="BM407" s="126"/>
      <c r="BN407" s="126"/>
      <c r="BO407" s="126"/>
      <c r="BP407" s="126"/>
      <c r="BQ407" s="126"/>
      <c r="BR407" s="126"/>
      <c r="BS407" s="126"/>
      <c r="BT407" s="126"/>
      <c r="BU407" s="126"/>
      <c r="BV407" s="126"/>
      <c r="BW407" s="126"/>
      <c r="BX407" s="126"/>
      <c r="BY407" s="126"/>
      <c r="BZ407" s="126"/>
      <c r="CA407" s="126"/>
      <c r="CB407" s="126"/>
      <c r="CC407" s="126"/>
      <c r="CD407" s="126"/>
      <c r="CE407" s="126"/>
      <c r="CF407" s="126"/>
      <c r="CG407" s="126"/>
      <c r="CH407" s="126"/>
      <c r="CI407" s="126"/>
      <c r="CJ407" s="126"/>
      <c r="CK407" s="126"/>
    </row>
    <row r="408" spans="1:89" ht="9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  <c r="BK408" s="126"/>
      <c r="BL408" s="126"/>
      <c r="BM408" s="126"/>
      <c r="BN408" s="126"/>
      <c r="BO408" s="126"/>
      <c r="BP408" s="126"/>
      <c r="BQ408" s="126"/>
      <c r="BR408" s="126"/>
      <c r="BS408" s="126"/>
      <c r="BT408" s="126"/>
      <c r="BU408" s="126"/>
      <c r="BV408" s="126"/>
      <c r="BW408" s="126"/>
      <c r="BX408" s="126"/>
      <c r="BY408" s="126"/>
      <c r="BZ408" s="126"/>
      <c r="CA408" s="126"/>
      <c r="CB408" s="126"/>
      <c r="CC408" s="126"/>
      <c r="CD408" s="126"/>
      <c r="CE408" s="126"/>
      <c r="CF408" s="126"/>
      <c r="CG408" s="126"/>
      <c r="CH408" s="126"/>
      <c r="CI408" s="126"/>
      <c r="CJ408" s="126"/>
      <c r="CK408" s="126"/>
    </row>
    <row r="409" spans="1:89" ht="9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  <c r="BK409" s="126"/>
      <c r="BL409" s="126"/>
      <c r="BM409" s="126"/>
      <c r="BN409" s="126"/>
      <c r="BO409" s="126"/>
      <c r="BP409" s="126"/>
      <c r="BQ409" s="126"/>
      <c r="BR409" s="126"/>
      <c r="BS409" s="126"/>
      <c r="BT409" s="126"/>
      <c r="BU409" s="126"/>
      <c r="BV409" s="126"/>
      <c r="BW409" s="126"/>
      <c r="BX409" s="126"/>
      <c r="BY409" s="126"/>
      <c r="BZ409" s="126"/>
      <c r="CA409" s="126"/>
      <c r="CB409" s="126"/>
      <c r="CC409" s="126"/>
      <c r="CD409" s="126"/>
      <c r="CE409" s="126"/>
      <c r="CF409" s="126"/>
      <c r="CG409" s="126"/>
      <c r="CH409" s="126"/>
      <c r="CI409" s="126"/>
      <c r="CJ409" s="126"/>
      <c r="CK409" s="126"/>
    </row>
    <row r="410" spans="1:89" ht="9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  <c r="BD410" s="126"/>
      <c r="BE410" s="126"/>
      <c r="BF410" s="126"/>
      <c r="BG410" s="126"/>
      <c r="BH410" s="126"/>
      <c r="BI410" s="126"/>
      <c r="BJ410" s="126"/>
      <c r="BK410" s="126"/>
      <c r="BL410" s="126"/>
      <c r="BM410" s="126"/>
      <c r="BN410" s="126"/>
      <c r="BO410" s="126"/>
      <c r="BP410" s="126"/>
      <c r="BQ410" s="126"/>
      <c r="BR410" s="126"/>
      <c r="BS410" s="126"/>
      <c r="BT410" s="126"/>
      <c r="BU410" s="126"/>
      <c r="BV410" s="126"/>
      <c r="BW410" s="126"/>
      <c r="BX410" s="126"/>
      <c r="BY410" s="126"/>
      <c r="BZ410" s="126"/>
      <c r="CA410" s="126"/>
      <c r="CB410" s="126"/>
      <c r="CC410" s="126"/>
      <c r="CD410" s="126"/>
      <c r="CE410" s="126"/>
      <c r="CF410" s="126"/>
      <c r="CG410" s="126"/>
      <c r="CH410" s="126"/>
      <c r="CI410" s="126"/>
      <c r="CJ410" s="126"/>
      <c r="CK410" s="126"/>
    </row>
    <row r="411" spans="1:89" ht="9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  <c r="BD411" s="126"/>
      <c r="BE411" s="126"/>
      <c r="BF411" s="126"/>
      <c r="BG411" s="126"/>
      <c r="BH411" s="126"/>
      <c r="BI411" s="126"/>
      <c r="BJ411" s="126"/>
      <c r="BK411" s="126"/>
      <c r="BL411" s="126"/>
      <c r="BM411" s="126"/>
      <c r="BN411" s="126"/>
      <c r="BO411" s="126"/>
      <c r="BP411" s="126"/>
      <c r="BQ411" s="126"/>
      <c r="BR411" s="126"/>
      <c r="BS411" s="126"/>
      <c r="BT411" s="126"/>
      <c r="BU411" s="126"/>
      <c r="BV411" s="126"/>
      <c r="BW411" s="126"/>
      <c r="BX411" s="126"/>
      <c r="BY411" s="126"/>
      <c r="BZ411" s="126"/>
      <c r="CA411" s="126"/>
      <c r="CB411" s="126"/>
      <c r="CC411" s="126"/>
      <c r="CD411" s="126"/>
      <c r="CE411" s="126"/>
      <c r="CF411" s="126"/>
      <c r="CG411" s="126"/>
      <c r="CH411" s="126"/>
      <c r="CI411" s="126"/>
      <c r="CJ411" s="126"/>
      <c r="CK411" s="126"/>
    </row>
    <row r="412" spans="1:89" ht="9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  <c r="BD412" s="126"/>
      <c r="BE412" s="126"/>
      <c r="BF412" s="126"/>
      <c r="BG412" s="126"/>
      <c r="BH412" s="126"/>
      <c r="BI412" s="126"/>
      <c r="BJ412" s="126"/>
      <c r="BK412" s="126"/>
      <c r="BL412" s="126"/>
      <c r="BM412" s="126"/>
      <c r="BN412" s="126"/>
      <c r="BO412" s="126"/>
      <c r="BP412" s="126"/>
      <c r="BQ412" s="126"/>
      <c r="BR412" s="126"/>
      <c r="BS412" s="126"/>
      <c r="BT412" s="126"/>
      <c r="BU412" s="126"/>
      <c r="BV412" s="126"/>
      <c r="BW412" s="126"/>
      <c r="BX412" s="126"/>
      <c r="BY412" s="126"/>
      <c r="BZ412" s="126"/>
      <c r="CA412" s="126"/>
      <c r="CB412" s="126"/>
      <c r="CC412" s="126"/>
      <c r="CD412" s="126"/>
      <c r="CE412" s="126"/>
      <c r="CF412" s="126"/>
      <c r="CG412" s="126"/>
      <c r="CH412" s="126"/>
      <c r="CI412" s="126"/>
      <c r="CJ412" s="126"/>
      <c r="CK412" s="126"/>
    </row>
    <row r="413" spans="1:89" ht="9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  <c r="BD413" s="126"/>
      <c r="BE413" s="126"/>
      <c r="BF413" s="126"/>
      <c r="BG413" s="126"/>
      <c r="BH413" s="126"/>
      <c r="BI413" s="126"/>
      <c r="BJ413" s="126"/>
      <c r="BK413" s="126"/>
      <c r="BL413" s="126"/>
      <c r="BM413" s="126"/>
      <c r="BN413" s="126"/>
      <c r="BO413" s="126"/>
      <c r="BP413" s="126"/>
      <c r="BQ413" s="126"/>
      <c r="BR413" s="126"/>
      <c r="BS413" s="126"/>
      <c r="BT413" s="126"/>
      <c r="BU413" s="126"/>
      <c r="BV413" s="126"/>
      <c r="BW413" s="126"/>
      <c r="BX413" s="126"/>
      <c r="BY413" s="126"/>
      <c r="BZ413" s="126"/>
      <c r="CA413" s="126"/>
      <c r="CB413" s="126"/>
      <c r="CC413" s="126"/>
      <c r="CD413" s="126"/>
      <c r="CE413" s="126"/>
      <c r="CF413" s="126"/>
      <c r="CG413" s="126"/>
      <c r="CH413" s="126"/>
      <c r="CI413" s="126"/>
      <c r="CJ413" s="126"/>
      <c r="CK413" s="126"/>
    </row>
    <row r="414" spans="1:89" ht="9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  <c r="BD414" s="126"/>
      <c r="BE414" s="126"/>
      <c r="BF414" s="126"/>
      <c r="BG414" s="126"/>
      <c r="BH414" s="126"/>
      <c r="BI414" s="126"/>
      <c r="BJ414" s="126"/>
      <c r="BK414" s="126"/>
      <c r="BL414" s="126"/>
      <c r="BM414" s="126"/>
      <c r="BN414" s="126"/>
      <c r="BO414" s="126"/>
      <c r="BP414" s="126"/>
      <c r="BQ414" s="126"/>
      <c r="BR414" s="126"/>
      <c r="BS414" s="126"/>
      <c r="BT414" s="126"/>
      <c r="BU414" s="126"/>
      <c r="BV414" s="126"/>
      <c r="BW414" s="126"/>
      <c r="BX414" s="126"/>
      <c r="BY414" s="126"/>
      <c r="BZ414" s="126"/>
      <c r="CA414" s="126"/>
      <c r="CB414" s="126"/>
      <c r="CC414" s="126"/>
      <c r="CD414" s="126"/>
      <c r="CE414" s="126"/>
      <c r="CF414" s="126"/>
      <c r="CG414" s="126"/>
      <c r="CH414" s="126"/>
      <c r="CI414" s="126"/>
      <c r="CJ414" s="126"/>
      <c r="CK414" s="126"/>
    </row>
    <row r="415" spans="1:89" ht="9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  <c r="BD415" s="126"/>
      <c r="BE415" s="126"/>
      <c r="BF415" s="126"/>
      <c r="BG415" s="126"/>
      <c r="BH415" s="126"/>
      <c r="BI415" s="126"/>
      <c r="BJ415" s="126"/>
      <c r="BK415" s="126"/>
      <c r="BL415" s="126"/>
      <c r="BM415" s="126"/>
      <c r="BN415" s="126"/>
      <c r="BO415" s="126"/>
      <c r="BP415" s="126"/>
      <c r="BQ415" s="126"/>
      <c r="BR415" s="126"/>
      <c r="BS415" s="126"/>
      <c r="BT415" s="126"/>
      <c r="BU415" s="126"/>
      <c r="BV415" s="126"/>
      <c r="BW415" s="126"/>
      <c r="BX415" s="126"/>
      <c r="BY415" s="126"/>
      <c r="BZ415" s="126"/>
      <c r="CA415" s="126"/>
      <c r="CB415" s="126"/>
      <c r="CC415" s="126"/>
      <c r="CD415" s="126"/>
      <c r="CE415" s="126"/>
      <c r="CF415" s="126"/>
      <c r="CG415" s="126"/>
      <c r="CH415" s="126"/>
      <c r="CI415" s="126"/>
      <c r="CJ415" s="126"/>
      <c r="CK415" s="126"/>
    </row>
    <row r="416" spans="1:89" ht="9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  <c r="BD416" s="126"/>
      <c r="BE416" s="126"/>
      <c r="BF416" s="126"/>
      <c r="BG416" s="126"/>
      <c r="BH416" s="126"/>
      <c r="BI416" s="126"/>
      <c r="BJ416" s="126"/>
      <c r="BK416" s="126"/>
      <c r="BL416" s="126"/>
      <c r="BM416" s="126"/>
      <c r="BN416" s="126"/>
      <c r="BO416" s="126"/>
      <c r="BP416" s="126"/>
      <c r="BQ416" s="126"/>
      <c r="BR416" s="126"/>
      <c r="BS416" s="126"/>
      <c r="BT416" s="126"/>
      <c r="BU416" s="126"/>
      <c r="BV416" s="126"/>
      <c r="BW416" s="126"/>
      <c r="BX416" s="126"/>
      <c r="BY416" s="126"/>
      <c r="BZ416" s="126"/>
      <c r="CA416" s="126"/>
      <c r="CB416" s="126"/>
      <c r="CC416" s="126"/>
      <c r="CD416" s="126"/>
      <c r="CE416" s="126"/>
      <c r="CF416" s="126"/>
      <c r="CG416" s="126"/>
      <c r="CH416" s="126"/>
      <c r="CI416" s="126"/>
      <c r="CJ416" s="126"/>
      <c r="CK416" s="126"/>
    </row>
    <row r="417" spans="1:89" ht="9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  <c r="BF417" s="126"/>
      <c r="BG417" s="126"/>
      <c r="BH417" s="126"/>
      <c r="BI417" s="126"/>
      <c r="BJ417" s="126"/>
      <c r="BK417" s="126"/>
      <c r="BL417" s="126"/>
      <c r="BM417" s="126"/>
      <c r="BN417" s="126"/>
      <c r="BO417" s="126"/>
      <c r="BP417" s="126"/>
      <c r="BQ417" s="126"/>
      <c r="BR417" s="126"/>
      <c r="BS417" s="126"/>
      <c r="BT417" s="126"/>
      <c r="BU417" s="126"/>
      <c r="BV417" s="126"/>
      <c r="BW417" s="126"/>
      <c r="BX417" s="126"/>
      <c r="BY417" s="126"/>
      <c r="BZ417" s="126"/>
      <c r="CA417" s="126"/>
      <c r="CB417" s="126"/>
      <c r="CC417" s="126"/>
      <c r="CD417" s="126"/>
      <c r="CE417" s="126"/>
      <c r="CF417" s="126"/>
      <c r="CG417" s="126"/>
      <c r="CH417" s="126"/>
      <c r="CI417" s="126"/>
      <c r="CJ417" s="126"/>
      <c r="CK417" s="126"/>
    </row>
    <row r="418" spans="1:89" ht="9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  <c r="BD418" s="126"/>
      <c r="BE418" s="126"/>
      <c r="BF418" s="126"/>
      <c r="BG418" s="126"/>
      <c r="BH418" s="126"/>
      <c r="BI418" s="126"/>
      <c r="BJ418" s="126"/>
      <c r="BK418" s="126"/>
      <c r="BL418" s="126"/>
      <c r="BM418" s="126"/>
      <c r="BN418" s="126"/>
      <c r="BO418" s="126"/>
      <c r="BP418" s="126"/>
      <c r="BQ418" s="126"/>
      <c r="BR418" s="126"/>
      <c r="BS418" s="126"/>
      <c r="BT418" s="126"/>
      <c r="BU418" s="126"/>
      <c r="BV418" s="126"/>
      <c r="BW418" s="126"/>
      <c r="BX418" s="126"/>
      <c r="BY418" s="126"/>
      <c r="BZ418" s="126"/>
      <c r="CA418" s="126"/>
      <c r="CB418" s="126"/>
      <c r="CC418" s="126"/>
      <c r="CD418" s="126"/>
      <c r="CE418" s="126"/>
      <c r="CF418" s="126"/>
      <c r="CG418" s="126"/>
      <c r="CH418" s="126"/>
      <c r="CI418" s="126"/>
      <c r="CJ418" s="126"/>
      <c r="CK418" s="126"/>
    </row>
    <row r="419" spans="1:89" ht="9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  <c r="BF419" s="126"/>
      <c r="BG419" s="126"/>
      <c r="BH419" s="126"/>
      <c r="BI419" s="126"/>
      <c r="BJ419" s="126"/>
      <c r="BK419" s="126"/>
      <c r="BL419" s="126"/>
      <c r="BM419" s="126"/>
      <c r="BN419" s="126"/>
      <c r="BO419" s="126"/>
      <c r="BP419" s="126"/>
      <c r="BQ419" s="126"/>
      <c r="BR419" s="126"/>
      <c r="BS419" s="126"/>
      <c r="BT419" s="126"/>
      <c r="BU419" s="126"/>
      <c r="BV419" s="126"/>
      <c r="BW419" s="126"/>
      <c r="BX419" s="126"/>
      <c r="BY419" s="126"/>
      <c r="BZ419" s="126"/>
      <c r="CA419" s="126"/>
      <c r="CB419" s="126"/>
      <c r="CC419" s="126"/>
      <c r="CD419" s="126"/>
      <c r="CE419" s="126"/>
      <c r="CF419" s="126"/>
      <c r="CG419" s="126"/>
      <c r="CH419" s="126"/>
      <c r="CI419" s="126"/>
      <c r="CJ419" s="126"/>
      <c r="CK419" s="126"/>
    </row>
    <row r="420" spans="1:89" ht="9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  <c r="BD420" s="126"/>
      <c r="BE420" s="126"/>
      <c r="BF420" s="126"/>
      <c r="BG420" s="126"/>
      <c r="BH420" s="126"/>
      <c r="BI420" s="126"/>
      <c r="BJ420" s="126"/>
      <c r="BK420" s="126"/>
      <c r="BL420" s="126"/>
      <c r="BM420" s="126"/>
      <c r="BN420" s="126"/>
      <c r="BO420" s="126"/>
      <c r="BP420" s="126"/>
      <c r="BQ420" s="126"/>
      <c r="BR420" s="126"/>
      <c r="BS420" s="126"/>
      <c r="BT420" s="126"/>
      <c r="BU420" s="126"/>
      <c r="BV420" s="126"/>
      <c r="BW420" s="126"/>
      <c r="BX420" s="126"/>
      <c r="BY420" s="126"/>
      <c r="BZ420" s="126"/>
      <c r="CA420" s="126"/>
      <c r="CB420" s="126"/>
      <c r="CC420" s="126"/>
      <c r="CD420" s="126"/>
      <c r="CE420" s="126"/>
      <c r="CF420" s="126"/>
      <c r="CG420" s="126"/>
      <c r="CH420" s="126"/>
      <c r="CI420" s="126"/>
      <c r="CJ420" s="126"/>
      <c r="CK420" s="126"/>
    </row>
    <row r="421" spans="1:89" ht="9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  <c r="BD421" s="126"/>
      <c r="BE421" s="126"/>
      <c r="BF421" s="126"/>
      <c r="BG421" s="126"/>
      <c r="BH421" s="126"/>
      <c r="BI421" s="126"/>
      <c r="BJ421" s="126"/>
      <c r="BK421" s="126"/>
      <c r="BL421" s="126"/>
      <c r="BM421" s="126"/>
      <c r="BN421" s="126"/>
      <c r="BO421" s="126"/>
      <c r="BP421" s="126"/>
      <c r="BQ421" s="126"/>
      <c r="BR421" s="126"/>
      <c r="BS421" s="126"/>
      <c r="BT421" s="126"/>
      <c r="BU421" s="126"/>
      <c r="BV421" s="126"/>
      <c r="BW421" s="126"/>
      <c r="BX421" s="126"/>
      <c r="BY421" s="126"/>
      <c r="BZ421" s="126"/>
      <c r="CA421" s="126"/>
      <c r="CB421" s="126"/>
      <c r="CC421" s="126"/>
      <c r="CD421" s="126"/>
      <c r="CE421" s="126"/>
      <c r="CF421" s="126"/>
      <c r="CG421" s="126"/>
      <c r="CH421" s="126"/>
      <c r="CI421" s="126"/>
      <c r="CJ421" s="126"/>
      <c r="CK421" s="126"/>
    </row>
    <row r="422" spans="1:89" ht="9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  <c r="BD422" s="126"/>
      <c r="BE422" s="126"/>
      <c r="BF422" s="126"/>
      <c r="BG422" s="126"/>
      <c r="BH422" s="126"/>
      <c r="BI422" s="126"/>
      <c r="BJ422" s="126"/>
      <c r="BK422" s="126"/>
      <c r="BL422" s="126"/>
      <c r="BM422" s="126"/>
      <c r="BN422" s="126"/>
      <c r="BO422" s="126"/>
      <c r="BP422" s="126"/>
      <c r="BQ422" s="126"/>
      <c r="BR422" s="126"/>
      <c r="BS422" s="126"/>
      <c r="BT422" s="126"/>
      <c r="BU422" s="126"/>
      <c r="BV422" s="126"/>
      <c r="BW422" s="126"/>
      <c r="BX422" s="126"/>
      <c r="BY422" s="126"/>
      <c r="BZ422" s="126"/>
      <c r="CA422" s="126"/>
      <c r="CB422" s="126"/>
      <c r="CC422" s="126"/>
      <c r="CD422" s="126"/>
      <c r="CE422" s="126"/>
      <c r="CF422" s="126"/>
      <c r="CG422" s="126"/>
      <c r="CH422" s="126"/>
      <c r="CI422" s="126"/>
      <c r="CJ422" s="126"/>
      <c r="CK422" s="126"/>
    </row>
    <row r="423" spans="1:89" ht="9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  <c r="BF423" s="126"/>
      <c r="BG423" s="126"/>
      <c r="BH423" s="126"/>
      <c r="BI423" s="126"/>
      <c r="BJ423" s="126"/>
      <c r="BK423" s="126"/>
      <c r="BL423" s="126"/>
      <c r="BM423" s="126"/>
      <c r="BN423" s="126"/>
      <c r="BO423" s="126"/>
      <c r="BP423" s="126"/>
      <c r="BQ423" s="126"/>
      <c r="BR423" s="126"/>
      <c r="BS423" s="126"/>
      <c r="BT423" s="126"/>
      <c r="BU423" s="126"/>
      <c r="BV423" s="126"/>
      <c r="BW423" s="126"/>
      <c r="BX423" s="126"/>
      <c r="BY423" s="126"/>
      <c r="BZ423" s="126"/>
      <c r="CA423" s="126"/>
      <c r="CB423" s="126"/>
      <c r="CC423" s="126"/>
      <c r="CD423" s="126"/>
      <c r="CE423" s="126"/>
      <c r="CF423" s="126"/>
      <c r="CG423" s="126"/>
      <c r="CH423" s="126"/>
      <c r="CI423" s="126"/>
      <c r="CJ423" s="126"/>
      <c r="CK423" s="126"/>
    </row>
    <row r="424" spans="1:89" ht="9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  <c r="BD424" s="126"/>
      <c r="BE424" s="126"/>
      <c r="BF424" s="126"/>
      <c r="BG424" s="126"/>
      <c r="BH424" s="126"/>
      <c r="BI424" s="126"/>
      <c r="BJ424" s="126"/>
      <c r="BK424" s="126"/>
      <c r="BL424" s="126"/>
      <c r="BM424" s="126"/>
      <c r="BN424" s="126"/>
      <c r="BO424" s="126"/>
      <c r="BP424" s="126"/>
      <c r="BQ424" s="126"/>
      <c r="BR424" s="126"/>
      <c r="BS424" s="126"/>
      <c r="BT424" s="126"/>
      <c r="BU424" s="126"/>
      <c r="BV424" s="126"/>
      <c r="BW424" s="126"/>
      <c r="BX424" s="126"/>
      <c r="BY424" s="126"/>
      <c r="BZ424" s="126"/>
      <c r="CA424" s="126"/>
      <c r="CB424" s="126"/>
      <c r="CC424" s="126"/>
      <c r="CD424" s="126"/>
      <c r="CE424" s="126"/>
      <c r="CF424" s="126"/>
      <c r="CG424" s="126"/>
      <c r="CH424" s="126"/>
      <c r="CI424" s="126"/>
      <c r="CJ424" s="126"/>
      <c r="CK424" s="126"/>
    </row>
    <row r="425" spans="1:89" ht="9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  <c r="BD425" s="126"/>
      <c r="BE425" s="126"/>
      <c r="BF425" s="126"/>
      <c r="BG425" s="126"/>
      <c r="BH425" s="126"/>
      <c r="BI425" s="126"/>
      <c r="BJ425" s="126"/>
      <c r="BK425" s="126"/>
      <c r="BL425" s="126"/>
      <c r="BM425" s="126"/>
      <c r="BN425" s="126"/>
      <c r="BO425" s="126"/>
      <c r="BP425" s="126"/>
      <c r="BQ425" s="126"/>
      <c r="BR425" s="126"/>
      <c r="BS425" s="126"/>
      <c r="BT425" s="126"/>
      <c r="BU425" s="126"/>
      <c r="BV425" s="126"/>
      <c r="BW425" s="126"/>
      <c r="BX425" s="126"/>
      <c r="BY425" s="126"/>
      <c r="BZ425" s="126"/>
      <c r="CA425" s="126"/>
      <c r="CB425" s="126"/>
      <c r="CC425" s="126"/>
      <c r="CD425" s="126"/>
      <c r="CE425" s="126"/>
      <c r="CF425" s="126"/>
      <c r="CG425" s="126"/>
      <c r="CH425" s="126"/>
      <c r="CI425" s="126"/>
      <c r="CJ425" s="126"/>
      <c r="CK425" s="126"/>
    </row>
    <row r="426" spans="1:89" ht="9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  <c r="BD426" s="126"/>
      <c r="BE426" s="126"/>
      <c r="BF426" s="126"/>
      <c r="BG426" s="126"/>
      <c r="BH426" s="126"/>
      <c r="BI426" s="126"/>
      <c r="BJ426" s="126"/>
      <c r="BK426" s="126"/>
      <c r="BL426" s="126"/>
      <c r="BM426" s="126"/>
      <c r="BN426" s="126"/>
      <c r="BO426" s="126"/>
      <c r="BP426" s="126"/>
      <c r="BQ426" s="126"/>
      <c r="BR426" s="126"/>
      <c r="BS426" s="126"/>
      <c r="BT426" s="126"/>
      <c r="BU426" s="126"/>
      <c r="BV426" s="126"/>
      <c r="BW426" s="126"/>
      <c r="BX426" s="126"/>
      <c r="BY426" s="126"/>
      <c r="BZ426" s="126"/>
      <c r="CA426" s="126"/>
      <c r="CB426" s="126"/>
      <c r="CC426" s="126"/>
      <c r="CD426" s="126"/>
      <c r="CE426" s="126"/>
      <c r="CF426" s="126"/>
      <c r="CG426" s="126"/>
      <c r="CH426" s="126"/>
      <c r="CI426" s="126"/>
      <c r="CJ426" s="126"/>
      <c r="CK426" s="126"/>
    </row>
    <row r="427" spans="1:89" ht="9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  <c r="BD427" s="126"/>
      <c r="BE427" s="126"/>
      <c r="BF427" s="126"/>
      <c r="BG427" s="126"/>
      <c r="BH427" s="126"/>
      <c r="BI427" s="126"/>
      <c r="BJ427" s="126"/>
      <c r="BK427" s="126"/>
      <c r="BL427" s="126"/>
      <c r="BM427" s="126"/>
      <c r="BN427" s="126"/>
      <c r="BO427" s="126"/>
      <c r="BP427" s="126"/>
      <c r="BQ427" s="126"/>
      <c r="BR427" s="126"/>
      <c r="BS427" s="126"/>
      <c r="BT427" s="126"/>
      <c r="BU427" s="126"/>
      <c r="BV427" s="126"/>
      <c r="BW427" s="126"/>
      <c r="BX427" s="126"/>
      <c r="BY427" s="126"/>
      <c r="BZ427" s="126"/>
      <c r="CA427" s="126"/>
      <c r="CB427" s="126"/>
      <c r="CC427" s="126"/>
      <c r="CD427" s="126"/>
      <c r="CE427" s="126"/>
      <c r="CF427" s="126"/>
      <c r="CG427" s="126"/>
      <c r="CH427" s="126"/>
      <c r="CI427" s="126"/>
      <c r="CJ427" s="126"/>
      <c r="CK427" s="126"/>
    </row>
    <row r="428" spans="1:89" ht="9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  <c r="BD428" s="126"/>
      <c r="BE428" s="126"/>
      <c r="BF428" s="126"/>
      <c r="BG428" s="126"/>
      <c r="BH428" s="126"/>
      <c r="BI428" s="126"/>
      <c r="BJ428" s="126"/>
      <c r="BK428" s="126"/>
      <c r="BL428" s="126"/>
      <c r="BM428" s="126"/>
      <c r="BN428" s="126"/>
      <c r="BO428" s="126"/>
      <c r="BP428" s="126"/>
      <c r="BQ428" s="126"/>
      <c r="BR428" s="126"/>
      <c r="BS428" s="126"/>
      <c r="BT428" s="126"/>
      <c r="BU428" s="126"/>
      <c r="BV428" s="126"/>
      <c r="BW428" s="126"/>
      <c r="BX428" s="126"/>
      <c r="BY428" s="126"/>
      <c r="BZ428" s="126"/>
      <c r="CA428" s="126"/>
      <c r="CB428" s="126"/>
      <c r="CC428" s="126"/>
      <c r="CD428" s="126"/>
      <c r="CE428" s="126"/>
      <c r="CF428" s="126"/>
      <c r="CG428" s="126"/>
      <c r="CH428" s="126"/>
      <c r="CI428" s="126"/>
      <c r="CJ428" s="126"/>
      <c r="CK428" s="126"/>
    </row>
    <row r="429" spans="1:89" ht="9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  <c r="BF429" s="126"/>
      <c r="BG429" s="126"/>
      <c r="BH429" s="126"/>
      <c r="BI429" s="126"/>
      <c r="BJ429" s="126"/>
      <c r="BK429" s="126"/>
      <c r="BL429" s="126"/>
      <c r="BM429" s="126"/>
      <c r="BN429" s="126"/>
      <c r="BO429" s="126"/>
      <c r="BP429" s="126"/>
      <c r="BQ429" s="126"/>
      <c r="BR429" s="126"/>
      <c r="BS429" s="126"/>
      <c r="BT429" s="126"/>
      <c r="BU429" s="126"/>
      <c r="BV429" s="126"/>
      <c r="BW429" s="126"/>
      <c r="BX429" s="126"/>
      <c r="BY429" s="126"/>
      <c r="BZ429" s="126"/>
      <c r="CA429" s="126"/>
      <c r="CB429" s="126"/>
      <c r="CC429" s="126"/>
      <c r="CD429" s="126"/>
      <c r="CE429" s="126"/>
      <c r="CF429" s="126"/>
      <c r="CG429" s="126"/>
      <c r="CH429" s="126"/>
      <c r="CI429" s="126"/>
      <c r="CJ429" s="126"/>
      <c r="CK429" s="126"/>
    </row>
    <row r="430" spans="1:89" ht="9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  <c r="BD430" s="126"/>
      <c r="BE430" s="126"/>
      <c r="BF430" s="126"/>
      <c r="BG430" s="126"/>
      <c r="BH430" s="126"/>
      <c r="BI430" s="126"/>
      <c r="BJ430" s="126"/>
      <c r="BK430" s="126"/>
      <c r="BL430" s="126"/>
      <c r="BM430" s="126"/>
      <c r="BN430" s="126"/>
      <c r="BO430" s="126"/>
      <c r="BP430" s="126"/>
      <c r="BQ430" s="126"/>
      <c r="BR430" s="126"/>
      <c r="BS430" s="126"/>
      <c r="BT430" s="126"/>
      <c r="BU430" s="126"/>
      <c r="BV430" s="126"/>
      <c r="BW430" s="126"/>
      <c r="BX430" s="126"/>
      <c r="BY430" s="126"/>
      <c r="BZ430" s="126"/>
      <c r="CA430" s="126"/>
      <c r="CB430" s="126"/>
      <c r="CC430" s="126"/>
      <c r="CD430" s="126"/>
      <c r="CE430" s="126"/>
      <c r="CF430" s="126"/>
      <c r="CG430" s="126"/>
      <c r="CH430" s="126"/>
      <c r="CI430" s="126"/>
      <c r="CJ430" s="126"/>
      <c r="CK430" s="126"/>
    </row>
    <row r="431" spans="1:89" ht="9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  <c r="BD431" s="126"/>
      <c r="BE431" s="126"/>
      <c r="BF431" s="126"/>
      <c r="BG431" s="126"/>
      <c r="BH431" s="126"/>
      <c r="BI431" s="126"/>
      <c r="BJ431" s="126"/>
      <c r="BK431" s="126"/>
      <c r="BL431" s="126"/>
      <c r="BM431" s="126"/>
      <c r="BN431" s="126"/>
      <c r="BO431" s="126"/>
      <c r="BP431" s="126"/>
      <c r="BQ431" s="126"/>
      <c r="BR431" s="126"/>
      <c r="BS431" s="126"/>
      <c r="BT431" s="126"/>
      <c r="BU431" s="126"/>
      <c r="BV431" s="126"/>
      <c r="BW431" s="126"/>
      <c r="BX431" s="126"/>
      <c r="BY431" s="126"/>
      <c r="BZ431" s="126"/>
      <c r="CA431" s="126"/>
      <c r="CB431" s="126"/>
      <c r="CC431" s="126"/>
      <c r="CD431" s="126"/>
      <c r="CE431" s="126"/>
      <c r="CF431" s="126"/>
      <c r="CG431" s="126"/>
      <c r="CH431" s="126"/>
      <c r="CI431" s="126"/>
      <c r="CJ431" s="126"/>
      <c r="CK431" s="126"/>
    </row>
    <row r="432" spans="1:89" ht="9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  <c r="BD432" s="126"/>
      <c r="BE432" s="126"/>
      <c r="BF432" s="126"/>
      <c r="BG432" s="126"/>
      <c r="BH432" s="126"/>
      <c r="BI432" s="126"/>
      <c r="BJ432" s="126"/>
      <c r="BK432" s="126"/>
      <c r="BL432" s="126"/>
      <c r="BM432" s="126"/>
      <c r="BN432" s="126"/>
      <c r="BO432" s="126"/>
      <c r="BP432" s="126"/>
      <c r="BQ432" s="126"/>
      <c r="BR432" s="126"/>
      <c r="BS432" s="126"/>
      <c r="BT432" s="126"/>
      <c r="BU432" s="126"/>
      <c r="BV432" s="126"/>
      <c r="BW432" s="126"/>
      <c r="BX432" s="126"/>
      <c r="BY432" s="126"/>
      <c r="BZ432" s="126"/>
      <c r="CA432" s="126"/>
      <c r="CB432" s="126"/>
      <c r="CC432" s="126"/>
      <c r="CD432" s="126"/>
      <c r="CE432" s="126"/>
      <c r="CF432" s="126"/>
      <c r="CG432" s="126"/>
      <c r="CH432" s="126"/>
      <c r="CI432" s="126"/>
      <c r="CJ432" s="126"/>
      <c r="CK432" s="126"/>
    </row>
    <row r="433" spans="1:89" ht="9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  <c r="BD433" s="126"/>
      <c r="BE433" s="126"/>
      <c r="BF433" s="126"/>
      <c r="BG433" s="126"/>
      <c r="BH433" s="126"/>
      <c r="BI433" s="126"/>
      <c r="BJ433" s="126"/>
      <c r="BK433" s="126"/>
      <c r="BL433" s="126"/>
      <c r="BM433" s="126"/>
      <c r="BN433" s="126"/>
      <c r="BO433" s="126"/>
      <c r="BP433" s="126"/>
      <c r="BQ433" s="126"/>
      <c r="BR433" s="126"/>
      <c r="BS433" s="126"/>
      <c r="BT433" s="126"/>
      <c r="BU433" s="126"/>
      <c r="BV433" s="126"/>
      <c r="BW433" s="126"/>
      <c r="BX433" s="126"/>
      <c r="BY433" s="126"/>
      <c r="BZ433" s="126"/>
      <c r="CA433" s="126"/>
      <c r="CB433" s="126"/>
      <c r="CC433" s="126"/>
      <c r="CD433" s="126"/>
      <c r="CE433" s="126"/>
      <c r="CF433" s="126"/>
      <c r="CG433" s="126"/>
      <c r="CH433" s="126"/>
      <c r="CI433" s="126"/>
      <c r="CJ433" s="126"/>
      <c r="CK433" s="126"/>
    </row>
    <row r="434" spans="1:89" ht="9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  <c r="BD434" s="126"/>
      <c r="BE434" s="126"/>
      <c r="BF434" s="126"/>
      <c r="BG434" s="126"/>
      <c r="BH434" s="126"/>
      <c r="BI434" s="126"/>
      <c r="BJ434" s="126"/>
      <c r="BK434" s="126"/>
      <c r="BL434" s="126"/>
      <c r="BM434" s="126"/>
      <c r="BN434" s="126"/>
      <c r="BO434" s="126"/>
      <c r="BP434" s="126"/>
      <c r="BQ434" s="126"/>
      <c r="BR434" s="126"/>
      <c r="BS434" s="126"/>
      <c r="BT434" s="126"/>
      <c r="BU434" s="126"/>
      <c r="BV434" s="126"/>
      <c r="BW434" s="126"/>
      <c r="BX434" s="126"/>
      <c r="BY434" s="126"/>
      <c r="BZ434" s="126"/>
      <c r="CA434" s="126"/>
      <c r="CB434" s="126"/>
      <c r="CC434" s="126"/>
      <c r="CD434" s="126"/>
      <c r="CE434" s="126"/>
      <c r="CF434" s="126"/>
      <c r="CG434" s="126"/>
      <c r="CH434" s="126"/>
      <c r="CI434" s="126"/>
      <c r="CJ434" s="126"/>
      <c r="CK434" s="126"/>
    </row>
    <row r="435" spans="1:89" ht="9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  <c r="BD435" s="126"/>
      <c r="BE435" s="126"/>
      <c r="BF435" s="126"/>
      <c r="BG435" s="126"/>
      <c r="BH435" s="126"/>
      <c r="BI435" s="126"/>
      <c r="BJ435" s="126"/>
      <c r="BK435" s="126"/>
      <c r="BL435" s="126"/>
      <c r="BM435" s="126"/>
      <c r="BN435" s="126"/>
      <c r="BO435" s="126"/>
      <c r="BP435" s="126"/>
      <c r="BQ435" s="126"/>
      <c r="BR435" s="126"/>
      <c r="BS435" s="126"/>
      <c r="BT435" s="126"/>
      <c r="BU435" s="126"/>
      <c r="BV435" s="126"/>
      <c r="BW435" s="126"/>
      <c r="BX435" s="126"/>
      <c r="BY435" s="126"/>
      <c r="BZ435" s="126"/>
      <c r="CA435" s="126"/>
      <c r="CB435" s="126"/>
      <c r="CC435" s="126"/>
      <c r="CD435" s="126"/>
      <c r="CE435" s="126"/>
      <c r="CF435" s="126"/>
      <c r="CG435" s="126"/>
      <c r="CH435" s="126"/>
      <c r="CI435" s="126"/>
      <c r="CJ435" s="126"/>
      <c r="CK435" s="126"/>
    </row>
    <row r="436" spans="1:89" ht="9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  <c r="BD436" s="126"/>
      <c r="BE436" s="126"/>
      <c r="BF436" s="126"/>
      <c r="BG436" s="126"/>
      <c r="BH436" s="126"/>
      <c r="BI436" s="126"/>
      <c r="BJ436" s="126"/>
      <c r="BK436" s="126"/>
      <c r="BL436" s="126"/>
      <c r="BM436" s="126"/>
      <c r="BN436" s="126"/>
      <c r="BO436" s="126"/>
      <c r="BP436" s="126"/>
      <c r="BQ436" s="126"/>
      <c r="BR436" s="126"/>
      <c r="BS436" s="126"/>
      <c r="BT436" s="126"/>
      <c r="BU436" s="126"/>
      <c r="BV436" s="126"/>
      <c r="BW436" s="126"/>
      <c r="BX436" s="126"/>
      <c r="BY436" s="126"/>
      <c r="BZ436" s="126"/>
      <c r="CA436" s="126"/>
      <c r="CB436" s="126"/>
      <c r="CC436" s="126"/>
      <c r="CD436" s="126"/>
      <c r="CE436" s="126"/>
      <c r="CF436" s="126"/>
      <c r="CG436" s="126"/>
      <c r="CH436" s="126"/>
      <c r="CI436" s="126"/>
      <c r="CJ436" s="126"/>
      <c r="CK436" s="126"/>
    </row>
    <row r="437" spans="1:89" ht="9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  <c r="BD437" s="126"/>
      <c r="BE437" s="126"/>
      <c r="BF437" s="126"/>
      <c r="BG437" s="126"/>
      <c r="BH437" s="126"/>
      <c r="BI437" s="126"/>
      <c r="BJ437" s="126"/>
      <c r="BK437" s="126"/>
      <c r="BL437" s="126"/>
      <c r="BM437" s="126"/>
      <c r="BN437" s="126"/>
      <c r="BO437" s="126"/>
      <c r="BP437" s="126"/>
      <c r="BQ437" s="126"/>
      <c r="BR437" s="126"/>
      <c r="BS437" s="126"/>
      <c r="BT437" s="126"/>
      <c r="BU437" s="126"/>
      <c r="BV437" s="126"/>
      <c r="BW437" s="126"/>
      <c r="BX437" s="126"/>
      <c r="BY437" s="126"/>
      <c r="BZ437" s="126"/>
      <c r="CA437" s="126"/>
      <c r="CB437" s="126"/>
      <c r="CC437" s="126"/>
      <c r="CD437" s="126"/>
      <c r="CE437" s="126"/>
      <c r="CF437" s="126"/>
      <c r="CG437" s="126"/>
      <c r="CH437" s="126"/>
      <c r="CI437" s="126"/>
      <c r="CJ437" s="126"/>
      <c r="CK437" s="126"/>
    </row>
    <row r="438" spans="1:89" ht="9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  <c r="BD438" s="126"/>
      <c r="BE438" s="126"/>
      <c r="BF438" s="126"/>
      <c r="BG438" s="126"/>
      <c r="BH438" s="126"/>
      <c r="BI438" s="126"/>
      <c r="BJ438" s="126"/>
      <c r="BK438" s="126"/>
      <c r="BL438" s="126"/>
      <c r="BM438" s="126"/>
      <c r="BN438" s="126"/>
      <c r="BO438" s="126"/>
      <c r="BP438" s="126"/>
      <c r="BQ438" s="126"/>
      <c r="BR438" s="126"/>
      <c r="BS438" s="126"/>
      <c r="BT438" s="126"/>
      <c r="BU438" s="126"/>
      <c r="BV438" s="126"/>
      <c r="BW438" s="126"/>
      <c r="BX438" s="126"/>
      <c r="BY438" s="126"/>
      <c r="BZ438" s="126"/>
      <c r="CA438" s="126"/>
      <c r="CB438" s="126"/>
      <c r="CC438" s="126"/>
      <c r="CD438" s="126"/>
      <c r="CE438" s="126"/>
      <c r="CF438" s="126"/>
      <c r="CG438" s="126"/>
      <c r="CH438" s="126"/>
      <c r="CI438" s="126"/>
      <c r="CJ438" s="126"/>
      <c r="CK438" s="126"/>
    </row>
    <row r="439" spans="1:89" ht="9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  <c r="BF439" s="126"/>
      <c r="BG439" s="126"/>
      <c r="BH439" s="126"/>
      <c r="BI439" s="126"/>
      <c r="BJ439" s="126"/>
      <c r="BK439" s="126"/>
      <c r="BL439" s="126"/>
      <c r="BM439" s="126"/>
      <c r="BN439" s="126"/>
      <c r="BO439" s="126"/>
      <c r="BP439" s="126"/>
      <c r="BQ439" s="126"/>
      <c r="BR439" s="126"/>
      <c r="BS439" s="126"/>
      <c r="BT439" s="126"/>
      <c r="BU439" s="126"/>
      <c r="BV439" s="126"/>
      <c r="BW439" s="126"/>
      <c r="BX439" s="126"/>
      <c r="BY439" s="126"/>
      <c r="BZ439" s="126"/>
      <c r="CA439" s="126"/>
      <c r="CB439" s="126"/>
      <c r="CC439" s="126"/>
      <c r="CD439" s="126"/>
      <c r="CE439" s="126"/>
      <c r="CF439" s="126"/>
      <c r="CG439" s="126"/>
      <c r="CH439" s="126"/>
      <c r="CI439" s="126"/>
      <c r="CJ439" s="126"/>
      <c r="CK439" s="126"/>
    </row>
    <row r="440" spans="1:89" ht="9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  <c r="BD440" s="126"/>
      <c r="BE440" s="126"/>
      <c r="BF440" s="126"/>
      <c r="BG440" s="126"/>
      <c r="BH440" s="126"/>
      <c r="BI440" s="126"/>
      <c r="BJ440" s="126"/>
      <c r="BK440" s="126"/>
      <c r="BL440" s="126"/>
      <c r="BM440" s="126"/>
      <c r="BN440" s="126"/>
      <c r="BO440" s="126"/>
      <c r="BP440" s="126"/>
      <c r="BQ440" s="126"/>
      <c r="BR440" s="126"/>
      <c r="BS440" s="126"/>
      <c r="BT440" s="126"/>
      <c r="BU440" s="126"/>
      <c r="BV440" s="126"/>
      <c r="BW440" s="126"/>
      <c r="BX440" s="126"/>
      <c r="BY440" s="126"/>
      <c r="BZ440" s="126"/>
      <c r="CA440" s="126"/>
      <c r="CB440" s="126"/>
      <c r="CC440" s="126"/>
      <c r="CD440" s="126"/>
      <c r="CE440" s="126"/>
      <c r="CF440" s="126"/>
      <c r="CG440" s="126"/>
      <c r="CH440" s="126"/>
      <c r="CI440" s="126"/>
      <c r="CJ440" s="126"/>
      <c r="CK440" s="126"/>
    </row>
    <row r="441" spans="1:89" ht="9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  <c r="BD441" s="126"/>
      <c r="BE441" s="126"/>
      <c r="BF441" s="126"/>
      <c r="BG441" s="126"/>
      <c r="BH441" s="126"/>
      <c r="BI441" s="126"/>
      <c r="BJ441" s="126"/>
      <c r="BK441" s="126"/>
      <c r="BL441" s="126"/>
      <c r="BM441" s="126"/>
      <c r="BN441" s="126"/>
      <c r="BO441" s="126"/>
      <c r="BP441" s="126"/>
      <c r="BQ441" s="126"/>
      <c r="BR441" s="126"/>
      <c r="BS441" s="126"/>
      <c r="BT441" s="126"/>
      <c r="BU441" s="126"/>
      <c r="BV441" s="126"/>
      <c r="BW441" s="126"/>
      <c r="BX441" s="126"/>
      <c r="BY441" s="126"/>
      <c r="BZ441" s="126"/>
      <c r="CA441" s="126"/>
      <c r="CB441" s="126"/>
      <c r="CC441" s="126"/>
      <c r="CD441" s="126"/>
      <c r="CE441" s="126"/>
      <c r="CF441" s="126"/>
      <c r="CG441" s="126"/>
      <c r="CH441" s="126"/>
      <c r="CI441" s="126"/>
      <c r="CJ441" s="126"/>
      <c r="CK441" s="126"/>
    </row>
    <row r="442" spans="1:89" ht="9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  <c r="BD442" s="126"/>
      <c r="BE442" s="126"/>
      <c r="BF442" s="126"/>
      <c r="BG442" s="126"/>
      <c r="BH442" s="126"/>
      <c r="BI442" s="126"/>
      <c r="BJ442" s="126"/>
      <c r="BK442" s="126"/>
      <c r="BL442" s="126"/>
      <c r="BM442" s="126"/>
      <c r="BN442" s="126"/>
      <c r="BO442" s="126"/>
      <c r="BP442" s="126"/>
      <c r="BQ442" s="126"/>
      <c r="BR442" s="126"/>
      <c r="BS442" s="126"/>
      <c r="BT442" s="126"/>
      <c r="BU442" s="126"/>
      <c r="BV442" s="126"/>
      <c r="BW442" s="126"/>
      <c r="BX442" s="126"/>
      <c r="BY442" s="126"/>
      <c r="BZ442" s="126"/>
      <c r="CA442" s="126"/>
      <c r="CB442" s="126"/>
      <c r="CC442" s="126"/>
      <c r="CD442" s="126"/>
      <c r="CE442" s="126"/>
      <c r="CF442" s="126"/>
      <c r="CG442" s="126"/>
      <c r="CH442" s="126"/>
      <c r="CI442" s="126"/>
      <c r="CJ442" s="126"/>
      <c r="CK442" s="126"/>
    </row>
    <row r="443" spans="1:89" ht="9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  <c r="BD443" s="126"/>
      <c r="BE443" s="126"/>
      <c r="BF443" s="126"/>
      <c r="BG443" s="126"/>
      <c r="BH443" s="126"/>
      <c r="BI443" s="126"/>
      <c r="BJ443" s="126"/>
      <c r="BK443" s="126"/>
      <c r="BL443" s="126"/>
      <c r="BM443" s="126"/>
      <c r="BN443" s="126"/>
      <c r="BO443" s="126"/>
      <c r="BP443" s="126"/>
      <c r="BQ443" s="126"/>
      <c r="BR443" s="126"/>
      <c r="BS443" s="126"/>
      <c r="BT443" s="126"/>
      <c r="BU443" s="126"/>
      <c r="BV443" s="126"/>
      <c r="BW443" s="126"/>
      <c r="BX443" s="126"/>
      <c r="BY443" s="126"/>
      <c r="BZ443" s="126"/>
      <c r="CA443" s="126"/>
      <c r="CB443" s="126"/>
      <c r="CC443" s="126"/>
      <c r="CD443" s="126"/>
      <c r="CE443" s="126"/>
      <c r="CF443" s="126"/>
      <c r="CG443" s="126"/>
      <c r="CH443" s="126"/>
      <c r="CI443" s="126"/>
      <c r="CJ443" s="126"/>
      <c r="CK443" s="126"/>
    </row>
    <row r="444" spans="1:89" ht="9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  <c r="BD444" s="126"/>
      <c r="BE444" s="126"/>
      <c r="BF444" s="126"/>
      <c r="BG444" s="126"/>
      <c r="BH444" s="126"/>
      <c r="BI444" s="126"/>
      <c r="BJ444" s="126"/>
      <c r="BK444" s="126"/>
      <c r="BL444" s="126"/>
      <c r="BM444" s="126"/>
      <c r="BN444" s="126"/>
      <c r="BO444" s="126"/>
      <c r="BP444" s="126"/>
      <c r="BQ444" s="126"/>
      <c r="BR444" s="126"/>
      <c r="BS444" s="126"/>
      <c r="BT444" s="126"/>
      <c r="BU444" s="126"/>
      <c r="BV444" s="126"/>
      <c r="BW444" s="126"/>
      <c r="BX444" s="126"/>
      <c r="BY444" s="126"/>
      <c r="BZ444" s="126"/>
      <c r="CA444" s="126"/>
      <c r="CB444" s="126"/>
      <c r="CC444" s="126"/>
      <c r="CD444" s="126"/>
      <c r="CE444" s="126"/>
      <c r="CF444" s="126"/>
      <c r="CG444" s="126"/>
      <c r="CH444" s="126"/>
      <c r="CI444" s="126"/>
      <c r="CJ444" s="126"/>
      <c r="CK444" s="126"/>
    </row>
    <row r="445" spans="1:89" ht="9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  <c r="BD445" s="126"/>
      <c r="BE445" s="126"/>
      <c r="BF445" s="126"/>
      <c r="BG445" s="126"/>
      <c r="BH445" s="126"/>
      <c r="BI445" s="126"/>
      <c r="BJ445" s="126"/>
      <c r="BK445" s="126"/>
      <c r="BL445" s="126"/>
      <c r="BM445" s="126"/>
      <c r="BN445" s="126"/>
      <c r="BO445" s="126"/>
      <c r="BP445" s="126"/>
      <c r="BQ445" s="126"/>
      <c r="BR445" s="126"/>
      <c r="BS445" s="126"/>
      <c r="BT445" s="126"/>
      <c r="BU445" s="126"/>
      <c r="BV445" s="126"/>
      <c r="BW445" s="126"/>
      <c r="BX445" s="126"/>
      <c r="BY445" s="126"/>
      <c r="BZ445" s="126"/>
      <c r="CA445" s="126"/>
      <c r="CB445" s="126"/>
      <c r="CC445" s="126"/>
      <c r="CD445" s="126"/>
      <c r="CE445" s="126"/>
      <c r="CF445" s="126"/>
      <c r="CG445" s="126"/>
      <c r="CH445" s="126"/>
      <c r="CI445" s="126"/>
      <c r="CJ445" s="126"/>
      <c r="CK445" s="126"/>
    </row>
    <row r="446" spans="1:89" ht="9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  <c r="BD446" s="126"/>
      <c r="BE446" s="126"/>
      <c r="BF446" s="126"/>
      <c r="BG446" s="126"/>
      <c r="BH446" s="126"/>
      <c r="BI446" s="126"/>
      <c r="BJ446" s="126"/>
      <c r="BK446" s="126"/>
      <c r="BL446" s="126"/>
      <c r="BM446" s="126"/>
      <c r="BN446" s="126"/>
      <c r="BO446" s="126"/>
      <c r="BP446" s="126"/>
      <c r="BQ446" s="126"/>
      <c r="BR446" s="126"/>
      <c r="BS446" s="126"/>
      <c r="BT446" s="126"/>
      <c r="BU446" s="126"/>
      <c r="BV446" s="126"/>
      <c r="BW446" s="126"/>
      <c r="BX446" s="126"/>
      <c r="BY446" s="126"/>
      <c r="BZ446" s="126"/>
      <c r="CA446" s="126"/>
      <c r="CB446" s="126"/>
      <c r="CC446" s="126"/>
      <c r="CD446" s="126"/>
      <c r="CE446" s="126"/>
      <c r="CF446" s="126"/>
      <c r="CG446" s="126"/>
      <c r="CH446" s="126"/>
      <c r="CI446" s="126"/>
      <c r="CJ446" s="126"/>
      <c r="CK446" s="126"/>
    </row>
    <row r="447" spans="1:89" ht="9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  <c r="BF447" s="126"/>
      <c r="BG447" s="126"/>
      <c r="BH447" s="126"/>
      <c r="BI447" s="126"/>
      <c r="BJ447" s="126"/>
      <c r="BK447" s="126"/>
      <c r="BL447" s="126"/>
      <c r="BM447" s="126"/>
      <c r="BN447" s="126"/>
      <c r="BO447" s="126"/>
      <c r="BP447" s="126"/>
      <c r="BQ447" s="126"/>
      <c r="BR447" s="126"/>
      <c r="BS447" s="126"/>
      <c r="BT447" s="126"/>
      <c r="BU447" s="126"/>
      <c r="BV447" s="126"/>
      <c r="BW447" s="126"/>
      <c r="BX447" s="126"/>
      <c r="BY447" s="126"/>
      <c r="BZ447" s="126"/>
      <c r="CA447" s="126"/>
      <c r="CB447" s="126"/>
      <c r="CC447" s="126"/>
      <c r="CD447" s="126"/>
      <c r="CE447" s="126"/>
      <c r="CF447" s="126"/>
      <c r="CG447" s="126"/>
      <c r="CH447" s="126"/>
      <c r="CI447" s="126"/>
      <c r="CJ447" s="126"/>
      <c r="CK447" s="126"/>
    </row>
    <row r="448" spans="1:89" ht="9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  <c r="BD448" s="126"/>
      <c r="BE448" s="126"/>
      <c r="BF448" s="126"/>
      <c r="BG448" s="126"/>
      <c r="BH448" s="126"/>
      <c r="BI448" s="126"/>
      <c r="BJ448" s="126"/>
      <c r="BK448" s="126"/>
      <c r="BL448" s="126"/>
      <c r="BM448" s="126"/>
      <c r="BN448" s="126"/>
      <c r="BO448" s="126"/>
      <c r="BP448" s="126"/>
      <c r="BQ448" s="126"/>
      <c r="BR448" s="126"/>
      <c r="BS448" s="126"/>
      <c r="BT448" s="126"/>
      <c r="BU448" s="126"/>
      <c r="BV448" s="126"/>
      <c r="BW448" s="126"/>
      <c r="BX448" s="126"/>
      <c r="BY448" s="126"/>
      <c r="BZ448" s="126"/>
      <c r="CA448" s="126"/>
      <c r="CB448" s="126"/>
      <c r="CC448" s="126"/>
      <c r="CD448" s="126"/>
      <c r="CE448" s="126"/>
      <c r="CF448" s="126"/>
      <c r="CG448" s="126"/>
      <c r="CH448" s="126"/>
      <c r="CI448" s="126"/>
      <c r="CJ448" s="126"/>
      <c r="CK448" s="126"/>
    </row>
    <row r="449" spans="1:89" ht="9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  <c r="BF449" s="126"/>
      <c r="BG449" s="126"/>
      <c r="BH449" s="126"/>
      <c r="BI449" s="126"/>
      <c r="BJ449" s="126"/>
      <c r="BK449" s="126"/>
      <c r="BL449" s="126"/>
      <c r="BM449" s="126"/>
      <c r="BN449" s="126"/>
      <c r="BO449" s="126"/>
      <c r="BP449" s="126"/>
      <c r="BQ449" s="126"/>
      <c r="BR449" s="126"/>
      <c r="BS449" s="126"/>
      <c r="BT449" s="126"/>
      <c r="BU449" s="126"/>
      <c r="BV449" s="126"/>
      <c r="BW449" s="126"/>
      <c r="BX449" s="126"/>
      <c r="BY449" s="126"/>
      <c r="BZ449" s="126"/>
      <c r="CA449" s="126"/>
      <c r="CB449" s="126"/>
      <c r="CC449" s="126"/>
      <c r="CD449" s="126"/>
      <c r="CE449" s="126"/>
      <c r="CF449" s="126"/>
      <c r="CG449" s="126"/>
      <c r="CH449" s="126"/>
      <c r="CI449" s="126"/>
      <c r="CJ449" s="126"/>
      <c r="CK449" s="126"/>
    </row>
    <row r="450" spans="1:89" ht="9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  <c r="BD450" s="126"/>
      <c r="BE450" s="126"/>
      <c r="BF450" s="126"/>
      <c r="BG450" s="126"/>
      <c r="BH450" s="126"/>
      <c r="BI450" s="126"/>
      <c r="BJ450" s="126"/>
      <c r="BK450" s="126"/>
      <c r="BL450" s="126"/>
      <c r="BM450" s="126"/>
      <c r="BN450" s="126"/>
      <c r="BO450" s="126"/>
      <c r="BP450" s="126"/>
      <c r="BQ450" s="126"/>
      <c r="BR450" s="126"/>
      <c r="BS450" s="126"/>
      <c r="BT450" s="126"/>
      <c r="BU450" s="126"/>
      <c r="BV450" s="126"/>
      <c r="BW450" s="126"/>
      <c r="BX450" s="126"/>
      <c r="BY450" s="126"/>
      <c r="BZ450" s="126"/>
      <c r="CA450" s="126"/>
      <c r="CB450" s="126"/>
      <c r="CC450" s="126"/>
      <c r="CD450" s="126"/>
      <c r="CE450" s="126"/>
      <c r="CF450" s="126"/>
      <c r="CG450" s="126"/>
      <c r="CH450" s="126"/>
      <c r="CI450" s="126"/>
      <c r="CJ450" s="126"/>
      <c r="CK450" s="126"/>
    </row>
    <row r="451" spans="1:89" ht="9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  <c r="BD451" s="126"/>
      <c r="BE451" s="126"/>
      <c r="BF451" s="126"/>
      <c r="BG451" s="126"/>
      <c r="BH451" s="126"/>
      <c r="BI451" s="126"/>
      <c r="BJ451" s="126"/>
      <c r="BK451" s="126"/>
      <c r="BL451" s="126"/>
      <c r="BM451" s="126"/>
      <c r="BN451" s="126"/>
      <c r="BO451" s="126"/>
      <c r="BP451" s="126"/>
      <c r="BQ451" s="126"/>
      <c r="BR451" s="126"/>
      <c r="BS451" s="126"/>
      <c r="BT451" s="126"/>
      <c r="BU451" s="126"/>
      <c r="BV451" s="126"/>
      <c r="BW451" s="126"/>
      <c r="BX451" s="126"/>
      <c r="BY451" s="126"/>
      <c r="BZ451" s="126"/>
      <c r="CA451" s="126"/>
      <c r="CB451" s="126"/>
      <c r="CC451" s="126"/>
      <c r="CD451" s="126"/>
      <c r="CE451" s="126"/>
      <c r="CF451" s="126"/>
      <c r="CG451" s="126"/>
      <c r="CH451" s="126"/>
      <c r="CI451" s="126"/>
      <c r="CJ451" s="126"/>
      <c r="CK451" s="126"/>
    </row>
    <row r="452" spans="1:89" ht="9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  <c r="BD452" s="126"/>
      <c r="BE452" s="126"/>
      <c r="BF452" s="126"/>
      <c r="BG452" s="126"/>
      <c r="BH452" s="126"/>
      <c r="BI452" s="126"/>
      <c r="BJ452" s="126"/>
      <c r="BK452" s="126"/>
      <c r="BL452" s="126"/>
      <c r="BM452" s="126"/>
      <c r="BN452" s="126"/>
      <c r="BO452" s="126"/>
      <c r="BP452" s="126"/>
      <c r="BQ452" s="126"/>
      <c r="BR452" s="126"/>
      <c r="BS452" s="126"/>
      <c r="BT452" s="126"/>
      <c r="BU452" s="126"/>
      <c r="BV452" s="126"/>
      <c r="BW452" s="126"/>
      <c r="BX452" s="126"/>
      <c r="BY452" s="126"/>
      <c r="BZ452" s="126"/>
      <c r="CA452" s="126"/>
      <c r="CB452" s="126"/>
      <c r="CC452" s="126"/>
      <c r="CD452" s="126"/>
      <c r="CE452" s="126"/>
      <c r="CF452" s="126"/>
      <c r="CG452" s="126"/>
      <c r="CH452" s="126"/>
      <c r="CI452" s="126"/>
      <c r="CJ452" s="126"/>
      <c r="CK452" s="126"/>
    </row>
    <row r="453" spans="1:89" ht="9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  <c r="BD453" s="126"/>
      <c r="BE453" s="126"/>
      <c r="BF453" s="126"/>
      <c r="BG453" s="126"/>
      <c r="BH453" s="126"/>
      <c r="BI453" s="126"/>
      <c r="BJ453" s="126"/>
      <c r="BK453" s="126"/>
      <c r="BL453" s="126"/>
      <c r="BM453" s="126"/>
      <c r="BN453" s="126"/>
      <c r="BO453" s="126"/>
      <c r="BP453" s="126"/>
      <c r="BQ453" s="126"/>
      <c r="BR453" s="126"/>
      <c r="BS453" s="126"/>
      <c r="BT453" s="126"/>
      <c r="BU453" s="126"/>
      <c r="BV453" s="126"/>
      <c r="BW453" s="126"/>
      <c r="BX453" s="126"/>
      <c r="BY453" s="126"/>
      <c r="BZ453" s="126"/>
      <c r="CA453" s="126"/>
      <c r="CB453" s="126"/>
      <c r="CC453" s="126"/>
      <c r="CD453" s="126"/>
      <c r="CE453" s="126"/>
      <c r="CF453" s="126"/>
      <c r="CG453" s="126"/>
      <c r="CH453" s="126"/>
      <c r="CI453" s="126"/>
      <c r="CJ453" s="126"/>
      <c r="CK453" s="126"/>
    </row>
    <row r="454" spans="1:89" ht="9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  <c r="BD454" s="126"/>
      <c r="BE454" s="126"/>
      <c r="BF454" s="126"/>
      <c r="BG454" s="126"/>
      <c r="BH454" s="126"/>
      <c r="BI454" s="126"/>
      <c r="BJ454" s="126"/>
      <c r="BK454" s="126"/>
      <c r="BL454" s="126"/>
      <c r="BM454" s="126"/>
      <c r="BN454" s="126"/>
      <c r="BO454" s="126"/>
      <c r="BP454" s="126"/>
      <c r="BQ454" s="126"/>
      <c r="BR454" s="126"/>
      <c r="BS454" s="126"/>
      <c r="BT454" s="126"/>
      <c r="BU454" s="126"/>
      <c r="BV454" s="126"/>
      <c r="BW454" s="126"/>
      <c r="BX454" s="126"/>
      <c r="BY454" s="126"/>
      <c r="BZ454" s="126"/>
      <c r="CA454" s="126"/>
      <c r="CB454" s="126"/>
      <c r="CC454" s="126"/>
      <c r="CD454" s="126"/>
      <c r="CE454" s="126"/>
      <c r="CF454" s="126"/>
      <c r="CG454" s="126"/>
      <c r="CH454" s="126"/>
      <c r="CI454" s="126"/>
      <c r="CJ454" s="126"/>
      <c r="CK454" s="126"/>
    </row>
    <row r="455" spans="1:89" ht="9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  <c r="BD455" s="126"/>
      <c r="BE455" s="126"/>
      <c r="BF455" s="126"/>
      <c r="BG455" s="126"/>
      <c r="BH455" s="126"/>
      <c r="BI455" s="126"/>
      <c r="BJ455" s="126"/>
      <c r="BK455" s="126"/>
      <c r="BL455" s="126"/>
      <c r="BM455" s="126"/>
      <c r="BN455" s="126"/>
      <c r="BO455" s="126"/>
      <c r="BP455" s="126"/>
      <c r="BQ455" s="126"/>
      <c r="BR455" s="126"/>
      <c r="BS455" s="126"/>
      <c r="BT455" s="126"/>
      <c r="BU455" s="126"/>
      <c r="BV455" s="126"/>
      <c r="BW455" s="126"/>
      <c r="BX455" s="126"/>
      <c r="BY455" s="126"/>
      <c r="BZ455" s="126"/>
      <c r="CA455" s="126"/>
      <c r="CB455" s="126"/>
      <c r="CC455" s="126"/>
      <c r="CD455" s="126"/>
      <c r="CE455" s="126"/>
      <c r="CF455" s="126"/>
      <c r="CG455" s="126"/>
      <c r="CH455" s="126"/>
      <c r="CI455" s="126"/>
      <c r="CJ455" s="126"/>
      <c r="CK455" s="126"/>
    </row>
    <row r="456" spans="1:89" ht="9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  <c r="BD456" s="126"/>
      <c r="BE456" s="126"/>
      <c r="BF456" s="126"/>
      <c r="BG456" s="126"/>
      <c r="BH456" s="126"/>
      <c r="BI456" s="126"/>
      <c r="BJ456" s="126"/>
      <c r="BK456" s="126"/>
      <c r="BL456" s="126"/>
      <c r="BM456" s="126"/>
      <c r="BN456" s="126"/>
      <c r="BO456" s="126"/>
      <c r="BP456" s="126"/>
      <c r="BQ456" s="126"/>
      <c r="BR456" s="126"/>
      <c r="BS456" s="126"/>
      <c r="BT456" s="126"/>
      <c r="BU456" s="126"/>
      <c r="BV456" s="126"/>
      <c r="BW456" s="126"/>
      <c r="BX456" s="126"/>
      <c r="BY456" s="126"/>
      <c r="BZ456" s="126"/>
      <c r="CA456" s="126"/>
      <c r="CB456" s="126"/>
      <c r="CC456" s="126"/>
      <c r="CD456" s="126"/>
      <c r="CE456" s="126"/>
      <c r="CF456" s="126"/>
      <c r="CG456" s="126"/>
      <c r="CH456" s="126"/>
      <c r="CI456" s="126"/>
      <c r="CJ456" s="126"/>
      <c r="CK456" s="126"/>
    </row>
    <row r="457" spans="1:89" ht="9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  <c r="BD457" s="126"/>
      <c r="BE457" s="126"/>
      <c r="BF457" s="126"/>
      <c r="BG457" s="126"/>
      <c r="BH457" s="126"/>
      <c r="BI457" s="126"/>
      <c r="BJ457" s="126"/>
      <c r="BK457" s="126"/>
      <c r="BL457" s="126"/>
      <c r="BM457" s="126"/>
      <c r="BN457" s="126"/>
      <c r="BO457" s="126"/>
      <c r="BP457" s="126"/>
      <c r="BQ457" s="126"/>
      <c r="BR457" s="126"/>
      <c r="BS457" s="126"/>
      <c r="BT457" s="126"/>
      <c r="BU457" s="126"/>
      <c r="BV457" s="126"/>
      <c r="BW457" s="126"/>
      <c r="BX457" s="126"/>
      <c r="BY457" s="126"/>
      <c r="BZ457" s="126"/>
      <c r="CA457" s="126"/>
      <c r="CB457" s="126"/>
      <c r="CC457" s="126"/>
      <c r="CD457" s="126"/>
      <c r="CE457" s="126"/>
      <c r="CF457" s="126"/>
      <c r="CG457" s="126"/>
      <c r="CH457" s="126"/>
      <c r="CI457" s="126"/>
      <c r="CJ457" s="126"/>
      <c r="CK457" s="126"/>
    </row>
    <row r="458" spans="1:89" ht="9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  <c r="BD458" s="126"/>
      <c r="BE458" s="126"/>
      <c r="BF458" s="126"/>
      <c r="BG458" s="126"/>
      <c r="BH458" s="126"/>
      <c r="BI458" s="126"/>
      <c r="BJ458" s="126"/>
      <c r="BK458" s="126"/>
      <c r="BL458" s="126"/>
      <c r="BM458" s="126"/>
      <c r="BN458" s="126"/>
      <c r="BO458" s="126"/>
      <c r="BP458" s="126"/>
      <c r="BQ458" s="126"/>
      <c r="BR458" s="126"/>
      <c r="BS458" s="126"/>
      <c r="BT458" s="126"/>
      <c r="BU458" s="126"/>
      <c r="BV458" s="126"/>
      <c r="BW458" s="126"/>
      <c r="BX458" s="126"/>
      <c r="BY458" s="126"/>
      <c r="BZ458" s="126"/>
      <c r="CA458" s="126"/>
      <c r="CB458" s="126"/>
      <c r="CC458" s="126"/>
      <c r="CD458" s="126"/>
      <c r="CE458" s="126"/>
      <c r="CF458" s="126"/>
      <c r="CG458" s="126"/>
      <c r="CH458" s="126"/>
      <c r="CI458" s="126"/>
      <c r="CJ458" s="126"/>
      <c r="CK458" s="126"/>
    </row>
    <row r="459" spans="1:89" ht="9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  <c r="BD459" s="126"/>
      <c r="BE459" s="126"/>
      <c r="BF459" s="126"/>
      <c r="BG459" s="126"/>
      <c r="BH459" s="126"/>
      <c r="BI459" s="126"/>
      <c r="BJ459" s="126"/>
      <c r="BK459" s="126"/>
      <c r="BL459" s="126"/>
      <c r="BM459" s="126"/>
      <c r="BN459" s="126"/>
      <c r="BO459" s="126"/>
      <c r="BP459" s="126"/>
      <c r="BQ459" s="126"/>
      <c r="BR459" s="126"/>
      <c r="BS459" s="126"/>
      <c r="BT459" s="126"/>
      <c r="BU459" s="126"/>
      <c r="BV459" s="126"/>
      <c r="BW459" s="126"/>
      <c r="BX459" s="126"/>
      <c r="BY459" s="126"/>
      <c r="BZ459" s="126"/>
      <c r="CA459" s="126"/>
      <c r="CB459" s="126"/>
      <c r="CC459" s="126"/>
      <c r="CD459" s="126"/>
      <c r="CE459" s="126"/>
      <c r="CF459" s="126"/>
      <c r="CG459" s="126"/>
      <c r="CH459" s="126"/>
      <c r="CI459" s="126"/>
      <c r="CJ459" s="126"/>
      <c r="CK459" s="126"/>
    </row>
    <row r="460" spans="1:89" ht="9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  <c r="BK460" s="126"/>
      <c r="BL460" s="126"/>
      <c r="BM460" s="126"/>
      <c r="BN460" s="126"/>
      <c r="BO460" s="126"/>
      <c r="BP460" s="126"/>
      <c r="BQ460" s="126"/>
      <c r="BR460" s="126"/>
      <c r="BS460" s="126"/>
      <c r="BT460" s="126"/>
      <c r="BU460" s="126"/>
      <c r="BV460" s="126"/>
      <c r="BW460" s="126"/>
      <c r="BX460" s="126"/>
      <c r="BY460" s="126"/>
      <c r="BZ460" s="126"/>
      <c r="CA460" s="126"/>
      <c r="CB460" s="126"/>
      <c r="CC460" s="126"/>
      <c r="CD460" s="126"/>
      <c r="CE460" s="126"/>
      <c r="CF460" s="126"/>
      <c r="CG460" s="126"/>
      <c r="CH460" s="126"/>
      <c r="CI460" s="126"/>
      <c r="CJ460" s="126"/>
      <c r="CK460" s="126"/>
    </row>
    <row r="461" spans="1:89" ht="9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  <c r="BK461" s="126"/>
      <c r="BL461" s="126"/>
      <c r="BM461" s="126"/>
      <c r="BN461" s="126"/>
      <c r="BO461" s="126"/>
      <c r="BP461" s="126"/>
      <c r="BQ461" s="126"/>
      <c r="BR461" s="126"/>
      <c r="BS461" s="126"/>
      <c r="BT461" s="126"/>
      <c r="BU461" s="126"/>
      <c r="BV461" s="126"/>
      <c r="BW461" s="126"/>
      <c r="BX461" s="126"/>
      <c r="BY461" s="126"/>
      <c r="BZ461" s="126"/>
      <c r="CA461" s="126"/>
      <c r="CB461" s="126"/>
      <c r="CC461" s="126"/>
      <c r="CD461" s="126"/>
      <c r="CE461" s="126"/>
      <c r="CF461" s="126"/>
      <c r="CG461" s="126"/>
      <c r="CH461" s="126"/>
      <c r="CI461" s="126"/>
      <c r="CJ461" s="126"/>
      <c r="CK461" s="126"/>
    </row>
    <row r="462" spans="1:89" ht="9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  <c r="BK462" s="126"/>
      <c r="BL462" s="126"/>
      <c r="BM462" s="126"/>
      <c r="BN462" s="126"/>
      <c r="BO462" s="126"/>
      <c r="BP462" s="126"/>
      <c r="BQ462" s="126"/>
      <c r="BR462" s="126"/>
      <c r="BS462" s="126"/>
      <c r="BT462" s="126"/>
      <c r="BU462" s="126"/>
      <c r="BV462" s="126"/>
      <c r="BW462" s="126"/>
      <c r="BX462" s="126"/>
      <c r="BY462" s="126"/>
      <c r="BZ462" s="126"/>
      <c r="CA462" s="126"/>
      <c r="CB462" s="126"/>
      <c r="CC462" s="126"/>
      <c r="CD462" s="126"/>
      <c r="CE462" s="126"/>
      <c r="CF462" s="126"/>
      <c r="CG462" s="126"/>
      <c r="CH462" s="126"/>
      <c r="CI462" s="126"/>
      <c r="CJ462" s="126"/>
      <c r="CK462" s="126"/>
    </row>
    <row r="463" spans="1:89" ht="9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  <c r="BK463" s="126"/>
      <c r="BL463" s="126"/>
      <c r="BM463" s="126"/>
      <c r="BN463" s="126"/>
      <c r="BO463" s="126"/>
      <c r="BP463" s="126"/>
      <c r="BQ463" s="126"/>
      <c r="BR463" s="126"/>
      <c r="BS463" s="126"/>
      <c r="BT463" s="126"/>
      <c r="BU463" s="126"/>
      <c r="BV463" s="126"/>
      <c r="BW463" s="126"/>
      <c r="BX463" s="126"/>
      <c r="BY463" s="126"/>
      <c r="BZ463" s="126"/>
      <c r="CA463" s="126"/>
      <c r="CB463" s="126"/>
      <c r="CC463" s="126"/>
      <c r="CD463" s="126"/>
      <c r="CE463" s="126"/>
      <c r="CF463" s="126"/>
      <c r="CG463" s="126"/>
      <c r="CH463" s="126"/>
      <c r="CI463" s="126"/>
      <c r="CJ463" s="126"/>
      <c r="CK463" s="126"/>
    </row>
    <row r="464" spans="1:89" ht="9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  <c r="BK464" s="126"/>
      <c r="BL464" s="126"/>
      <c r="BM464" s="126"/>
      <c r="BN464" s="126"/>
      <c r="BO464" s="126"/>
      <c r="BP464" s="126"/>
      <c r="BQ464" s="126"/>
      <c r="BR464" s="126"/>
      <c r="BS464" s="126"/>
      <c r="BT464" s="126"/>
      <c r="BU464" s="126"/>
      <c r="BV464" s="126"/>
      <c r="BW464" s="126"/>
      <c r="BX464" s="126"/>
      <c r="BY464" s="126"/>
      <c r="BZ464" s="126"/>
      <c r="CA464" s="126"/>
      <c r="CB464" s="126"/>
      <c r="CC464" s="126"/>
      <c r="CD464" s="126"/>
      <c r="CE464" s="126"/>
      <c r="CF464" s="126"/>
      <c r="CG464" s="126"/>
      <c r="CH464" s="126"/>
      <c r="CI464" s="126"/>
      <c r="CJ464" s="126"/>
      <c r="CK464" s="126"/>
    </row>
    <row r="465" spans="1:89" ht="9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  <c r="BL465" s="126"/>
      <c r="BM465" s="126"/>
      <c r="BN465" s="126"/>
      <c r="BO465" s="126"/>
      <c r="BP465" s="126"/>
      <c r="BQ465" s="126"/>
      <c r="BR465" s="126"/>
      <c r="BS465" s="126"/>
      <c r="BT465" s="126"/>
      <c r="BU465" s="126"/>
      <c r="BV465" s="126"/>
      <c r="BW465" s="126"/>
      <c r="BX465" s="126"/>
      <c r="BY465" s="126"/>
      <c r="BZ465" s="126"/>
      <c r="CA465" s="126"/>
      <c r="CB465" s="126"/>
      <c r="CC465" s="126"/>
      <c r="CD465" s="126"/>
      <c r="CE465" s="126"/>
      <c r="CF465" s="126"/>
      <c r="CG465" s="126"/>
      <c r="CH465" s="126"/>
      <c r="CI465" s="126"/>
      <c r="CJ465" s="126"/>
      <c r="CK465" s="126"/>
    </row>
    <row r="466" spans="1:89" ht="9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  <c r="BK466" s="126"/>
      <c r="BL466" s="126"/>
      <c r="BM466" s="126"/>
      <c r="BN466" s="126"/>
      <c r="BO466" s="126"/>
      <c r="BP466" s="126"/>
      <c r="BQ466" s="126"/>
      <c r="BR466" s="126"/>
      <c r="BS466" s="126"/>
      <c r="BT466" s="126"/>
      <c r="BU466" s="126"/>
      <c r="BV466" s="126"/>
      <c r="BW466" s="126"/>
      <c r="BX466" s="126"/>
      <c r="BY466" s="126"/>
      <c r="BZ466" s="126"/>
      <c r="CA466" s="126"/>
      <c r="CB466" s="126"/>
      <c r="CC466" s="126"/>
      <c r="CD466" s="126"/>
      <c r="CE466" s="126"/>
      <c r="CF466" s="126"/>
      <c r="CG466" s="126"/>
      <c r="CH466" s="126"/>
      <c r="CI466" s="126"/>
      <c r="CJ466" s="126"/>
      <c r="CK466" s="126"/>
    </row>
    <row r="467" spans="1:89" ht="9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  <c r="BL467" s="126"/>
      <c r="BM467" s="126"/>
      <c r="BN467" s="126"/>
      <c r="BO467" s="126"/>
      <c r="BP467" s="126"/>
      <c r="BQ467" s="126"/>
      <c r="BR467" s="126"/>
      <c r="BS467" s="126"/>
      <c r="BT467" s="126"/>
      <c r="BU467" s="126"/>
      <c r="BV467" s="126"/>
      <c r="BW467" s="126"/>
      <c r="BX467" s="126"/>
      <c r="BY467" s="126"/>
      <c r="BZ467" s="126"/>
      <c r="CA467" s="126"/>
      <c r="CB467" s="126"/>
      <c r="CC467" s="126"/>
      <c r="CD467" s="126"/>
      <c r="CE467" s="126"/>
      <c r="CF467" s="126"/>
      <c r="CG467" s="126"/>
      <c r="CH467" s="126"/>
      <c r="CI467" s="126"/>
      <c r="CJ467" s="126"/>
      <c r="CK467" s="126"/>
    </row>
    <row r="468" spans="1:89" ht="9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  <c r="BK468" s="126"/>
      <c r="BL468" s="126"/>
      <c r="BM468" s="126"/>
      <c r="BN468" s="126"/>
      <c r="BO468" s="126"/>
      <c r="BP468" s="126"/>
      <c r="BQ468" s="126"/>
      <c r="BR468" s="126"/>
      <c r="BS468" s="126"/>
      <c r="BT468" s="126"/>
      <c r="BU468" s="126"/>
      <c r="BV468" s="126"/>
      <c r="BW468" s="126"/>
      <c r="BX468" s="126"/>
      <c r="BY468" s="126"/>
      <c r="BZ468" s="126"/>
      <c r="CA468" s="126"/>
      <c r="CB468" s="126"/>
      <c r="CC468" s="126"/>
      <c r="CD468" s="126"/>
      <c r="CE468" s="126"/>
      <c r="CF468" s="126"/>
      <c r="CG468" s="126"/>
      <c r="CH468" s="126"/>
      <c r="CI468" s="126"/>
      <c r="CJ468" s="126"/>
      <c r="CK468" s="126"/>
    </row>
    <row r="469" spans="1:89" ht="9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  <c r="BL469" s="126"/>
      <c r="BM469" s="126"/>
      <c r="BN469" s="126"/>
      <c r="BO469" s="126"/>
      <c r="BP469" s="126"/>
      <c r="BQ469" s="126"/>
      <c r="BR469" s="126"/>
      <c r="BS469" s="126"/>
      <c r="BT469" s="126"/>
      <c r="BU469" s="126"/>
      <c r="BV469" s="126"/>
      <c r="BW469" s="126"/>
      <c r="BX469" s="126"/>
      <c r="BY469" s="126"/>
      <c r="BZ469" s="126"/>
      <c r="CA469" s="126"/>
      <c r="CB469" s="126"/>
      <c r="CC469" s="126"/>
      <c r="CD469" s="126"/>
      <c r="CE469" s="126"/>
      <c r="CF469" s="126"/>
      <c r="CG469" s="126"/>
      <c r="CH469" s="126"/>
      <c r="CI469" s="126"/>
      <c r="CJ469" s="126"/>
      <c r="CK469" s="126"/>
    </row>
    <row r="470" spans="1:89" ht="9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  <c r="BK470" s="126"/>
      <c r="BL470" s="126"/>
      <c r="BM470" s="126"/>
      <c r="BN470" s="126"/>
      <c r="BO470" s="126"/>
      <c r="BP470" s="126"/>
      <c r="BQ470" s="126"/>
      <c r="BR470" s="126"/>
      <c r="BS470" s="126"/>
      <c r="BT470" s="126"/>
      <c r="BU470" s="126"/>
      <c r="BV470" s="126"/>
      <c r="BW470" s="126"/>
      <c r="BX470" s="126"/>
      <c r="BY470" s="126"/>
      <c r="BZ470" s="126"/>
      <c r="CA470" s="126"/>
      <c r="CB470" s="126"/>
      <c r="CC470" s="126"/>
      <c r="CD470" s="126"/>
      <c r="CE470" s="126"/>
      <c r="CF470" s="126"/>
      <c r="CG470" s="126"/>
      <c r="CH470" s="126"/>
      <c r="CI470" s="126"/>
      <c r="CJ470" s="126"/>
      <c r="CK470" s="126"/>
    </row>
    <row r="471" spans="1:89" ht="9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  <c r="BK471" s="126"/>
      <c r="BL471" s="126"/>
      <c r="BM471" s="126"/>
      <c r="BN471" s="126"/>
      <c r="BO471" s="126"/>
      <c r="BP471" s="126"/>
      <c r="BQ471" s="126"/>
      <c r="BR471" s="126"/>
      <c r="BS471" s="126"/>
      <c r="BT471" s="126"/>
      <c r="BU471" s="126"/>
      <c r="BV471" s="126"/>
      <c r="BW471" s="126"/>
      <c r="BX471" s="126"/>
      <c r="BY471" s="126"/>
      <c r="BZ471" s="126"/>
      <c r="CA471" s="126"/>
      <c r="CB471" s="126"/>
      <c r="CC471" s="126"/>
      <c r="CD471" s="126"/>
      <c r="CE471" s="126"/>
      <c r="CF471" s="126"/>
      <c r="CG471" s="126"/>
      <c r="CH471" s="126"/>
      <c r="CI471" s="126"/>
      <c r="CJ471" s="126"/>
      <c r="CK471" s="126"/>
    </row>
    <row r="472" spans="1:89" ht="9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  <c r="BK472" s="126"/>
      <c r="BL472" s="126"/>
      <c r="BM472" s="126"/>
      <c r="BN472" s="126"/>
      <c r="BO472" s="126"/>
      <c r="BP472" s="126"/>
      <c r="BQ472" s="126"/>
      <c r="BR472" s="126"/>
      <c r="BS472" s="126"/>
      <c r="BT472" s="126"/>
      <c r="BU472" s="126"/>
      <c r="BV472" s="126"/>
      <c r="BW472" s="126"/>
      <c r="BX472" s="126"/>
      <c r="BY472" s="126"/>
      <c r="BZ472" s="126"/>
      <c r="CA472" s="126"/>
      <c r="CB472" s="126"/>
      <c r="CC472" s="126"/>
      <c r="CD472" s="126"/>
      <c r="CE472" s="126"/>
      <c r="CF472" s="126"/>
      <c r="CG472" s="126"/>
      <c r="CH472" s="126"/>
      <c r="CI472" s="126"/>
      <c r="CJ472" s="126"/>
      <c r="CK472" s="126"/>
    </row>
    <row r="473" spans="1:89" ht="9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  <c r="BK473" s="126"/>
      <c r="BL473" s="126"/>
      <c r="BM473" s="126"/>
      <c r="BN473" s="126"/>
      <c r="BO473" s="126"/>
      <c r="BP473" s="126"/>
      <c r="BQ473" s="126"/>
      <c r="BR473" s="126"/>
      <c r="BS473" s="126"/>
      <c r="BT473" s="126"/>
      <c r="BU473" s="126"/>
      <c r="BV473" s="126"/>
      <c r="BW473" s="126"/>
      <c r="BX473" s="126"/>
      <c r="BY473" s="126"/>
      <c r="BZ473" s="126"/>
      <c r="CA473" s="126"/>
      <c r="CB473" s="126"/>
      <c r="CC473" s="126"/>
      <c r="CD473" s="126"/>
      <c r="CE473" s="126"/>
      <c r="CF473" s="126"/>
      <c r="CG473" s="126"/>
      <c r="CH473" s="126"/>
      <c r="CI473" s="126"/>
      <c r="CJ473" s="126"/>
      <c r="CK473" s="126"/>
    </row>
    <row r="474" spans="1:89" ht="9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  <c r="BD474" s="126"/>
      <c r="BE474" s="126"/>
      <c r="BF474" s="126"/>
      <c r="BG474" s="126"/>
      <c r="BH474" s="126"/>
      <c r="BI474" s="126"/>
      <c r="BJ474" s="126"/>
      <c r="BK474" s="126"/>
      <c r="BL474" s="126"/>
      <c r="BM474" s="126"/>
      <c r="BN474" s="126"/>
      <c r="BO474" s="126"/>
      <c r="BP474" s="126"/>
      <c r="BQ474" s="126"/>
      <c r="BR474" s="126"/>
      <c r="BS474" s="126"/>
      <c r="BT474" s="126"/>
      <c r="BU474" s="126"/>
      <c r="BV474" s="126"/>
      <c r="BW474" s="126"/>
      <c r="BX474" s="126"/>
      <c r="BY474" s="126"/>
      <c r="BZ474" s="126"/>
      <c r="CA474" s="126"/>
      <c r="CB474" s="126"/>
      <c r="CC474" s="126"/>
      <c r="CD474" s="126"/>
      <c r="CE474" s="126"/>
      <c r="CF474" s="126"/>
      <c r="CG474" s="126"/>
      <c r="CH474" s="126"/>
      <c r="CI474" s="126"/>
      <c r="CJ474" s="126"/>
      <c r="CK474" s="126"/>
    </row>
    <row r="475" spans="1:89" ht="9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  <c r="BD475" s="126"/>
      <c r="BE475" s="126"/>
      <c r="BF475" s="126"/>
      <c r="BG475" s="126"/>
      <c r="BH475" s="126"/>
      <c r="BI475" s="126"/>
      <c r="BJ475" s="126"/>
      <c r="BK475" s="126"/>
      <c r="BL475" s="126"/>
      <c r="BM475" s="126"/>
      <c r="BN475" s="126"/>
      <c r="BO475" s="126"/>
      <c r="BP475" s="126"/>
      <c r="BQ475" s="126"/>
      <c r="BR475" s="126"/>
      <c r="BS475" s="126"/>
      <c r="BT475" s="126"/>
      <c r="BU475" s="126"/>
      <c r="BV475" s="126"/>
      <c r="BW475" s="126"/>
      <c r="BX475" s="126"/>
      <c r="BY475" s="126"/>
      <c r="BZ475" s="126"/>
      <c r="CA475" s="126"/>
      <c r="CB475" s="126"/>
      <c r="CC475" s="126"/>
      <c r="CD475" s="126"/>
      <c r="CE475" s="126"/>
      <c r="CF475" s="126"/>
      <c r="CG475" s="126"/>
      <c r="CH475" s="126"/>
      <c r="CI475" s="126"/>
      <c r="CJ475" s="126"/>
      <c r="CK475" s="126"/>
    </row>
    <row r="476" spans="1:89" ht="9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  <c r="BD476" s="126"/>
      <c r="BE476" s="126"/>
      <c r="BF476" s="126"/>
      <c r="BG476" s="126"/>
      <c r="BH476" s="126"/>
      <c r="BI476" s="126"/>
      <c r="BJ476" s="126"/>
      <c r="BK476" s="126"/>
      <c r="BL476" s="126"/>
      <c r="BM476" s="126"/>
      <c r="BN476" s="126"/>
      <c r="BO476" s="126"/>
      <c r="BP476" s="126"/>
      <c r="BQ476" s="126"/>
      <c r="BR476" s="126"/>
      <c r="BS476" s="126"/>
      <c r="BT476" s="126"/>
      <c r="BU476" s="126"/>
      <c r="BV476" s="126"/>
      <c r="BW476" s="126"/>
      <c r="BX476" s="126"/>
      <c r="BY476" s="126"/>
      <c r="BZ476" s="126"/>
      <c r="CA476" s="126"/>
      <c r="CB476" s="126"/>
      <c r="CC476" s="126"/>
      <c r="CD476" s="126"/>
      <c r="CE476" s="126"/>
      <c r="CF476" s="126"/>
      <c r="CG476" s="126"/>
      <c r="CH476" s="126"/>
      <c r="CI476" s="126"/>
      <c r="CJ476" s="126"/>
      <c r="CK476" s="126"/>
    </row>
    <row r="477" spans="1:89" ht="9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  <c r="BD477" s="126"/>
      <c r="BE477" s="126"/>
      <c r="BF477" s="126"/>
      <c r="BG477" s="126"/>
      <c r="BH477" s="126"/>
      <c r="BI477" s="126"/>
      <c r="BJ477" s="126"/>
      <c r="BK477" s="126"/>
      <c r="BL477" s="126"/>
      <c r="BM477" s="126"/>
      <c r="BN477" s="126"/>
      <c r="BO477" s="126"/>
      <c r="BP477" s="126"/>
      <c r="BQ477" s="126"/>
      <c r="BR477" s="126"/>
      <c r="BS477" s="126"/>
      <c r="BT477" s="126"/>
      <c r="BU477" s="126"/>
      <c r="BV477" s="126"/>
      <c r="BW477" s="126"/>
      <c r="BX477" s="126"/>
      <c r="BY477" s="126"/>
      <c r="BZ477" s="126"/>
      <c r="CA477" s="126"/>
      <c r="CB477" s="126"/>
      <c r="CC477" s="126"/>
      <c r="CD477" s="126"/>
      <c r="CE477" s="126"/>
      <c r="CF477" s="126"/>
      <c r="CG477" s="126"/>
      <c r="CH477" s="126"/>
      <c r="CI477" s="126"/>
      <c r="CJ477" s="126"/>
      <c r="CK477" s="126"/>
    </row>
    <row r="478" spans="1:89" ht="9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  <c r="BD478" s="126"/>
      <c r="BE478" s="126"/>
      <c r="BF478" s="126"/>
      <c r="BG478" s="126"/>
      <c r="BH478" s="126"/>
      <c r="BI478" s="126"/>
      <c r="BJ478" s="126"/>
      <c r="BK478" s="126"/>
      <c r="BL478" s="126"/>
      <c r="BM478" s="126"/>
      <c r="BN478" s="126"/>
      <c r="BO478" s="126"/>
      <c r="BP478" s="126"/>
      <c r="BQ478" s="126"/>
      <c r="BR478" s="126"/>
      <c r="BS478" s="126"/>
      <c r="BT478" s="126"/>
      <c r="BU478" s="126"/>
      <c r="BV478" s="126"/>
      <c r="BW478" s="126"/>
      <c r="BX478" s="126"/>
      <c r="BY478" s="126"/>
      <c r="BZ478" s="126"/>
      <c r="CA478" s="126"/>
      <c r="CB478" s="126"/>
      <c r="CC478" s="126"/>
      <c r="CD478" s="126"/>
      <c r="CE478" s="126"/>
      <c r="CF478" s="126"/>
      <c r="CG478" s="126"/>
      <c r="CH478" s="126"/>
      <c r="CI478" s="126"/>
      <c r="CJ478" s="126"/>
      <c r="CK478" s="126"/>
    </row>
    <row r="479" spans="1:89" ht="9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  <c r="BD479" s="126"/>
      <c r="BE479" s="126"/>
      <c r="BF479" s="126"/>
      <c r="BG479" s="126"/>
      <c r="BH479" s="126"/>
      <c r="BI479" s="126"/>
      <c r="BJ479" s="126"/>
      <c r="BK479" s="126"/>
      <c r="BL479" s="126"/>
      <c r="BM479" s="126"/>
      <c r="BN479" s="126"/>
      <c r="BO479" s="126"/>
      <c r="BP479" s="126"/>
      <c r="BQ479" s="126"/>
      <c r="BR479" s="126"/>
      <c r="BS479" s="126"/>
      <c r="BT479" s="126"/>
      <c r="BU479" s="126"/>
      <c r="BV479" s="126"/>
      <c r="BW479" s="126"/>
      <c r="BX479" s="126"/>
      <c r="BY479" s="126"/>
      <c r="BZ479" s="126"/>
      <c r="CA479" s="126"/>
      <c r="CB479" s="126"/>
      <c r="CC479" s="126"/>
      <c r="CD479" s="126"/>
      <c r="CE479" s="126"/>
      <c r="CF479" s="126"/>
      <c r="CG479" s="126"/>
      <c r="CH479" s="126"/>
      <c r="CI479" s="126"/>
      <c r="CJ479" s="126"/>
      <c r="CK479" s="126"/>
    </row>
    <row r="480" spans="1:89" ht="9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  <c r="BD480" s="126"/>
      <c r="BE480" s="126"/>
      <c r="BF480" s="126"/>
      <c r="BG480" s="126"/>
      <c r="BH480" s="126"/>
      <c r="BI480" s="126"/>
      <c r="BJ480" s="126"/>
      <c r="BK480" s="126"/>
      <c r="BL480" s="126"/>
      <c r="BM480" s="126"/>
      <c r="BN480" s="126"/>
      <c r="BO480" s="126"/>
      <c r="BP480" s="126"/>
      <c r="BQ480" s="126"/>
      <c r="BR480" s="126"/>
      <c r="BS480" s="126"/>
      <c r="BT480" s="126"/>
      <c r="BU480" s="126"/>
      <c r="BV480" s="126"/>
      <c r="BW480" s="126"/>
      <c r="BX480" s="126"/>
      <c r="BY480" s="126"/>
      <c r="BZ480" s="126"/>
      <c r="CA480" s="126"/>
      <c r="CB480" s="126"/>
      <c r="CC480" s="126"/>
      <c r="CD480" s="126"/>
      <c r="CE480" s="126"/>
      <c r="CF480" s="126"/>
      <c r="CG480" s="126"/>
      <c r="CH480" s="126"/>
      <c r="CI480" s="126"/>
      <c r="CJ480" s="126"/>
      <c r="CK480" s="126"/>
    </row>
    <row r="481" spans="1:89" ht="9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  <c r="BD481" s="126"/>
      <c r="BE481" s="126"/>
      <c r="BF481" s="126"/>
      <c r="BG481" s="126"/>
      <c r="BH481" s="126"/>
      <c r="BI481" s="126"/>
      <c r="BJ481" s="126"/>
      <c r="BK481" s="126"/>
      <c r="BL481" s="126"/>
      <c r="BM481" s="126"/>
      <c r="BN481" s="126"/>
      <c r="BO481" s="126"/>
      <c r="BP481" s="126"/>
      <c r="BQ481" s="126"/>
      <c r="BR481" s="126"/>
      <c r="BS481" s="126"/>
      <c r="BT481" s="126"/>
      <c r="BU481" s="126"/>
      <c r="BV481" s="126"/>
      <c r="BW481" s="126"/>
      <c r="BX481" s="126"/>
      <c r="BY481" s="126"/>
      <c r="BZ481" s="126"/>
      <c r="CA481" s="126"/>
      <c r="CB481" s="126"/>
      <c r="CC481" s="126"/>
      <c r="CD481" s="126"/>
      <c r="CE481" s="126"/>
      <c r="CF481" s="126"/>
      <c r="CG481" s="126"/>
      <c r="CH481" s="126"/>
      <c r="CI481" s="126"/>
      <c r="CJ481" s="126"/>
      <c r="CK481" s="126"/>
    </row>
    <row r="482" spans="1:89" ht="9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  <c r="BD482" s="126"/>
      <c r="BE482" s="126"/>
      <c r="BF482" s="126"/>
      <c r="BG482" s="126"/>
      <c r="BH482" s="126"/>
      <c r="BI482" s="126"/>
      <c r="BJ482" s="126"/>
      <c r="BK482" s="126"/>
      <c r="BL482" s="126"/>
      <c r="BM482" s="126"/>
      <c r="BN482" s="126"/>
      <c r="BO482" s="126"/>
      <c r="BP482" s="126"/>
      <c r="BQ482" s="126"/>
      <c r="BR482" s="126"/>
      <c r="BS482" s="126"/>
      <c r="BT482" s="126"/>
      <c r="BU482" s="126"/>
      <c r="BV482" s="126"/>
      <c r="BW482" s="126"/>
      <c r="BX482" s="126"/>
      <c r="BY482" s="126"/>
      <c r="BZ482" s="126"/>
      <c r="CA482" s="126"/>
      <c r="CB482" s="126"/>
      <c r="CC482" s="126"/>
      <c r="CD482" s="126"/>
      <c r="CE482" s="126"/>
      <c r="CF482" s="126"/>
      <c r="CG482" s="126"/>
      <c r="CH482" s="126"/>
      <c r="CI482" s="126"/>
      <c r="CJ482" s="126"/>
      <c r="CK482" s="126"/>
    </row>
    <row r="483" spans="1:89" ht="9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  <c r="BD483" s="126"/>
      <c r="BE483" s="126"/>
      <c r="BF483" s="126"/>
      <c r="BG483" s="126"/>
      <c r="BH483" s="126"/>
      <c r="BI483" s="126"/>
      <c r="BJ483" s="126"/>
      <c r="BK483" s="126"/>
      <c r="BL483" s="126"/>
      <c r="BM483" s="126"/>
      <c r="BN483" s="126"/>
      <c r="BO483" s="126"/>
      <c r="BP483" s="126"/>
      <c r="BQ483" s="126"/>
      <c r="BR483" s="126"/>
      <c r="BS483" s="126"/>
      <c r="BT483" s="126"/>
      <c r="BU483" s="126"/>
      <c r="BV483" s="126"/>
      <c r="BW483" s="126"/>
      <c r="BX483" s="126"/>
      <c r="BY483" s="126"/>
      <c r="BZ483" s="126"/>
      <c r="CA483" s="126"/>
      <c r="CB483" s="126"/>
      <c r="CC483" s="126"/>
      <c r="CD483" s="126"/>
      <c r="CE483" s="126"/>
      <c r="CF483" s="126"/>
      <c r="CG483" s="126"/>
      <c r="CH483" s="126"/>
      <c r="CI483" s="126"/>
      <c r="CJ483" s="126"/>
      <c r="CK483" s="126"/>
    </row>
    <row r="484" spans="1:89" ht="9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  <c r="BD484" s="126"/>
      <c r="BE484" s="126"/>
      <c r="BF484" s="126"/>
      <c r="BG484" s="126"/>
      <c r="BH484" s="126"/>
      <c r="BI484" s="126"/>
      <c r="BJ484" s="126"/>
      <c r="BK484" s="126"/>
      <c r="BL484" s="126"/>
      <c r="BM484" s="126"/>
      <c r="BN484" s="126"/>
      <c r="BO484" s="126"/>
      <c r="BP484" s="126"/>
      <c r="BQ484" s="126"/>
      <c r="BR484" s="126"/>
      <c r="BS484" s="126"/>
      <c r="BT484" s="126"/>
      <c r="BU484" s="126"/>
      <c r="BV484" s="126"/>
      <c r="BW484" s="126"/>
      <c r="BX484" s="126"/>
      <c r="BY484" s="126"/>
      <c r="BZ484" s="126"/>
      <c r="CA484" s="126"/>
      <c r="CB484" s="126"/>
      <c r="CC484" s="126"/>
      <c r="CD484" s="126"/>
      <c r="CE484" s="126"/>
      <c r="CF484" s="126"/>
      <c r="CG484" s="126"/>
      <c r="CH484" s="126"/>
      <c r="CI484" s="126"/>
      <c r="CJ484" s="126"/>
      <c r="CK484" s="126"/>
    </row>
    <row r="485" spans="1:89" ht="9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  <c r="BD485" s="126"/>
      <c r="BE485" s="126"/>
      <c r="BF485" s="126"/>
      <c r="BG485" s="126"/>
      <c r="BH485" s="126"/>
      <c r="BI485" s="126"/>
      <c r="BJ485" s="126"/>
      <c r="BK485" s="126"/>
      <c r="BL485" s="126"/>
      <c r="BM485" s="126"/>
      <c r="BN485" s="126"/>
      <c r="BO485" s="126"/>
      <c r="BP485" s="126"/>
      <c r="BQ485" s="126"/>
      <c r="BR485" s="126"/>
      <c r="BS485" s="126"/>
      <c r="BT485" s="126"/>
      <c r="BU485" s="126"/>
      <c r="BV485" s="126"/>
      <c r="BW485" s="126"/>
      <c r="BX485" s="126"/>
      <c r="BY485" s="126"/>
      <c r="BZ485" s="126"/>
      <c r="CA485" s="126"/>
      <c r="CB485" s="126"/>
      <c r="CC485" s="126"/>
      <c r="CD485" s="126"/>
      <c r="CE485" s="126"/>
      <c r="CF485" s="126"/>
      <c r="CG485" s="126"/>
      <c r="CH485" s="126"/>
      <c r="CI485" s="126"/>
      <c r="CJ485" s="126"/>
      <c r="CK485" s="126"/>
    </row>
    <row r="486" spans="1:89" ht="9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  <c r="BD486" s="126"/>
      <c r="BE486" s="126"/>
      <c r="BF486" s="126"/>
      <c r="BG486" s="126"/>
      <c r="BH486" s="126"/>
      <c r="BI486" s="126"/>
      <c r="BJ486" s="126"/>
      <c r="BK486" s="126"/>
      <c r="BL486" s="126"/>
      <c r="BM486" s="126"/>
      <c r="BN486" s="126"/>
      <c r="BO486" s="126"/>
      <c r="BP486" s="126"/>
      <c r="BQ486" s="126"/>
      <c r="BR486" s="126"/>
      <c r="BS486" s="126"/>
      <c r="BT486" s="126"/>
      <c r="BU486" s="126"/>
      <c r="BV486" s="126"/>
      <c r="BW486" s="126"/>
      <c r="BX486" s="126"/>
      <c r="BY486" s="126"/>
      <c r="BZ486" s="126"/>
      <c r="CA486" s="126"/>
      <c r="CB486" s="126"/>
      <c r="CC486" s="126"/>
      <c r="CD486" s="126"/>
      <c r="CE486" s="126"/>
      <c r="CF486" s="126"/>
      <c r="CG486" s="126"/>
      <c r="CH486" s="126"/>
      <c r="CI486" s="126"/>
      <c r="CJ486" s="126"/>
      <c r="CK486" s="126"/>
    </row>
    <row r="487" spans="1:89" ht="9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  <c r="BD487" s="126"/>
      <c r="BE487" s="126"/>
      <c r="BF487" s="126"/>
      <c r="BG487" s="126"/>
      <c r="BH487" s="126"/>
      <c r="BI487" s="126"/>
      <c r="BJ487" s="126"/>
      <c r="BK487" s="126"/>
      <c r="BL487" s="126"/>
      <c r="BM487" s="126"/>
      <c r="BN487" s="126"/>
      <c r="BO487" s="126"/>
      <c r="BP487" s="126"/>
      <c r="BQ487" s="126"/>
      <c r="BR487" s="126"/>
      <c r="BS487" s="126"/>
      <c r="BT487" s="126"/>
      <c r="BU487" s="126"/>
      <c r="BV487" s="126"/>
      <c r="BW487" s="126"/>
      <c r="BX487" s="126"/>
      <c r="BY487" s="126"/>
      <c r="BZ487" s="126"/>
      <c r="CA487" s="126"/>
      <c r="CB487" s="126"/>
      <c r="CC487" s="126"/>
      <c r="CD487" s="126"/>
      <c r="CE487" s="126"/>
      <c r="CF487" s="126"/>
      <c r="CG487" s="126"/>
      <c r="CH487" s="126"/>
      <c r="CI487" s="126"/>
      <c r="CJ487" s="126"/>
      <c r="CK487" s="126"/>
    </row>
    <row r="488" spans="1:89" ht="9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  <c r="BD488" s="126"/>
      <c r="BE488" s="126"/>
      <c r="BF488" s="126"/>
      <c r="BG488" s="126"/>
      <c r="BH488" s="126"/>
      <c r="BI488" s="126"/>
      <c r="BJ488" s="126"/>
      <c r="BK488" s="126"/>
      <c r="BL488" s="126"/>
      <c r="BM488" s="126"/>
      <c r="BN488" s="126"/>
      <c r="BO488" s="126"/>
      <c r="BP488" s="126"/>
      <c r="BQ488" s="126"/>
      <c r="BR488" s="126"/>
      <c r="BS488" s="126"/>
      <c r="BT488" s="126"/>
      <c r="BU488" s="126"/>
      <c r="BV488" s="126"/>
      <c r="BW488" s="126"/>
      <c r="BX488" s="126"/>
      <c r="BY488" s="126"/>
      <c r="BZ488" s="126"/>
      <c r="CA488" s="126"/>
      <c r="CB488" s="126"/>
      <c r="CC488" s="126"/>
      <c r="CD488" s="126"/>
      <c r="CE488" s="126"/>
      <c r="CF488" s="126"/>
      <c r="CG488" s="126"/>
      <c r="CH488" s="126"/>
      <c r="CI488" s="126"/>
      <c r="CJ488" s="126"/>
      <c r="CK488" s="126"/>
    </row>
    <row r="489" spans="1:89" ht="9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  <c r="BD489" s="126"/>
      <c r="BE489" s="126"/>
      <c r="BF489" s="126"/>
      <c r="BG489" s="126"/>
      <c r="BH489" s="126"/>
      <c r="BI489" s="126"/>
      <c r="BJ489" s="126"/>
      <c r="BK489" s="126"/>
      <c r="BL489" s="126"/>
      <c r="BM489" s="126"/>
      <c r="BN489" s="126"/>
      <c r="BO489" s="126"/>
      <c r="BP489" s="126"/>
      <c r="BQ489" s="126"/>
      <c r="BR489" s="126"/>
      <c r="BS489" s="126"/>
      <c r="BT489" s="126"/>
      <c r="BU489" s="126"/>
      <c r="BV489" s="126"/>
      <c r="BW489" s="126"/>
      <c r="BX489" s="126"/>
      <c r="BY489" s="126"/>
      <c r="BZ489" s="126"/>
      <c r="CA489" s="126"/>
      <c r="CB489" s="126"/>
      <c r="CC489" s="126"/>
      <c r="CD489" s="126"/>
      <c r="CE489" s="126"/>
      <c r="CF489" s="126"/>
      <c r="CG489" s="126"/>
      <c r="CH489" s="126"/>
      <c r="CI489" s="126"/>
      <c r="CJ489" s="126"/>
      <c r="CK489" s="126"/>
    </row>
    <row r="490" spans="1:89" ht="9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  <c r="BD490" s="126"/>
      <c r="BE490" s="126"/>
      <c r="BF490" s="126"/>
      <c r="BG490" s="126"/>
      <c r="BH490" s="126"/>
      <c r="BI490" s="126"/>
      <c r="BJ490" s="126"/>
      <c r="BK490" s="126"/>
      <c r="BL490" s="126"/>
      <c r="BM490" s="126"/>
      <c r="BN490" s="126"/>
      <c r="BO490" s="126"/>
      <c r="BP490" s="126"/>
      <c r="BQ490" s="126"/>
      <c r="BR490" s="126"/>
      <c r="BS490" s="126"/>
      <c r="BT490" s="126"/>
      <c r="BU490" s="126"/>
      <c r="BV490" s="126"/>
      <c r="BW490" s="126"/>
      <c r="BX490" s="126"/>
      <c r="BY490" s="126"/>
      <c r="BZ490" s="126"/>
      <c r="CA490" s="126"/>
      <c r="CB490" s="126"/>
      <c r="CC490" s="126"/>
      <c r="CD490" s="126"/>
      <c r="CE490" s="126"/>
      <c r="CF490" s="126"/>
      <c r="CG490" s="126"/>
      <c r="CH490" s="126"/>
      <c r="CI490" s="126"/>
      <c r="CJ490" s="126"/>
      <c r="CK490" s="126"/>
    </row>
    <row r="491" spans="1:89" ht="9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  <c r="BD491" s="126"/>
      <c r="BE491" s="126"/>
      <c r="BF491" s="126"/>
      <c r="BG491" s="126"/>
      <c r="BH491" s="126"/>
      <c r="BI491" s="126"/>
      <c r="BJ491" s="126"/>
      <c r="BK491" s="126"/>
      <c r="BL491" s="126"/>
      <c r="BM491" s="126"/>
      <c r="BN491" s="126"/>
      <c r="BO491" s="126"/>
      <c r="BP491" s="126"/>
      <c r="BQ491" s="126"/>
      <c r="BR491" s="126"/>
      <c r="BS491" s="126"/>
      <c r="BT491" s="126"/>
      <c r="BU491" s="126"/>
      <c r="BV491" s="126"/>
      <c r="BW491" s="126"/>
      <c r="BX491" s="126"/>
      <c r="BY491" s="126"/>
      <c r="BZ491" s="126"/>
      <c r="CA491" s="126"/>
      <c r="CB491" s="126"/>
      <c r="CC491" s="126"/>
      <c r="CD491" s="126"/>
      <c r="CE491" s="126"/>
      <c r="CF491" s="126"/>
      <c r="CG491" s="126"/>
      <c r="CH491" s="126"/>
      <c r="CI491" s="126"/>
      <c r="CJ491" s="126"/>
      <c r="CK491" s="126"/>
    </row>
    <row r="492" spans="1:89" ht="9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  <c r="BD492" s="126"/>
      <c r="BE492" s="126"/>
      <c r="BF492" s="126"/>
      <c r="BG492" s="126"/>
      <c r="BH492" s="126"/>
      <c r="BI492" s="126"/>
      <c r="BJ492" s="126"/>
      <c r="BK492" s="126"/>
      <c r="BL492" s="126"/>
      <c r="BM492" s="126"/>
      <c r="BN492" s="126"/>
      <c r="BO492" s="126"/>
      <c r="BP492" s="126"/>
      <c r="BQ492" s="126"/>
      <c r="BR492" s="126"/>
      <c r="BS492" s="126"/>
      <c r="BT492" s="126"/>
      <c r="BU492" s="126"/>
      <c r="BV492" s="126"/>
      <c r="BW492" s="126"/>
      <c r="BX492" s="126"/>
      <c r="BY492" s="126"/>
      <c r="BZ492" s="126"/>
      <c r="CA492" s="126"/>
      <c r="CB492" s="126"/>
      <c r="CC492" s="126"/>
      <c r="CD492" s="126"/>
      <c r="CE492" s="126"/>
      <c r="CF492" s="126"/>
      <c r="CG492" s="126"/>
      <c r="CH492" s="126"/>
      <c r="CI492" s="126"/>
      <c r="CJ492" s="126"/>
      <c r="CK492" s="126"/>
    </row>
    <row r="493" spans="1:89" ht="9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  <c r="BD493" s="126"/>
      <c r="BE493" s="126"/>
      <c r="BF493" s="126"/>
      <c r="BG493" s="126"/>
      <c r="BH493" s="126"/>
      <c r="BI493" s="126"/>
      <c r="BJ493" s="126"/>
      <c r="BK493" s="126"/>
      <c r="BL493" s="126"/>
      <c r="BM493" s="126"/>
      <c r="BN493" s="126"/>
      <c r="BO493" s="126"/>
      <c r="BP493" s="126"/>
      <c r="BQ493" s="126"/>
      <c r="BR493" s="126"/>
      <c r="BS493" s="126"/>
      <c r="BT493" s="126"/>
      <c r="BU493" s="126"/>
      <c r="BV493" s="126"/>
      <c r="BW493" s="126"/>
      <c r="BX493" s="126"/>
      <c r="BY493" s="126"/>
      <c r="BZ493" s="126"/>
      <c r="CA493" s="126"/>
      <c r="CB493" s="126"/>
      <c r="CC493" s="126"/>
      <c r="CD493" s="126"/>
      <c r="CE493" s="126"/>
      <c r="CF493" s="126"/>
      <c r="CG493" s="126"/>
      <c r="CH493" s="126"/>
      <c r="CI493" s="126"/>
      <c r="CJ493" s="126"/>
      <c r="CK493" s="126"/>
    </row>
    <row r="494" spans="1:89" ht="9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  <c r="BD494" s="126"/>
      <c r="BE494" s="126"/>
      <c r="BF494" s="126"/>
      <c r="BG494" s="126"/>
      <c r="BH494" s="126"/>
      <c r="BI494" s="126"/>
      <c r="BJ494" s="126"/>
      <c r="BK494" s="126"/>
      <c r="BL494" s="126"/>
      <c r="BM494" s="126"/>
      <c r="BN494" s="126"/>
      <c r="BO494" s="126"/>
      <c r="BP494" s="126"/>
      <c r="BQ494" s="126"/>
      <c r="BR494" s="126"/>
      <c r="BS494" s="126"/>
      <c r="BT494" s="126"/>
      <c r="BU494" s="126"/>
      <c r="BV494" s="126"/>
      <c r="BW494" s="126"/>
      <c r="BX494" s="126"/>
      <c r="BY494" s="126"/>
      <c r="BZ494" s="126"/>
      <c r="CA494" s="126"/>
      <c r="CB494" s="126"/>
      <c r="CC494" s="126"/>
      <c r="CD494" s="126"/>
      <c r="CE494" s="126"/>
      <c r="CF494" s="126"/>
      <c r="CG494" s="126"/>
      <c r="CH494" s="126"/>
      <c r="CI494" s="126"/>
      <c r="CJ494" s="126"/>
      <c r="CK494" s="126"/>
    </row>
    <row r="495" spans="1:89" ht="9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  <c r="BD495" s="126"/>
      <c r="BE495" s="126"/>
      <c r="BF495" s="126"/>
      <c r="BG495" s="126"/>
      <c r="BH495" s="126"/>
      <c r="BI495" s="126"/>
      <c r="BJ495" s="126"/>
      <c r="BK495" s="126"/>
      <c r="BL495" s="126"/>
      <c r="BM495" s="126"/>
      <c r="BN495" s="126"/>
      <c r="BO495" s="126"/>
      <c r="BP495" s="126"/>
      <c r="BQ495" s="126"/>
      <c r="BR495" s="126"/>
      <c r="BS495" s="126"/>
      <c r="BT495" s="126"/>
      <c r="BU495" s="126"/>
      <c r="BV495" s="126"/>
      <c r="BW495" s="126"/>
      <c r="BX495" s="126"/>
      <c r="BY495" s="126"/>
      <c r="BZ495" s="126"/>
      <c r="CA495" s="126"/>
      <c r="CB495" s="126"/>
      <c r="CC495" s="126"/>
      <c r="CD495" s="126"/>
      <c r="CE495" s="126"/>
      <c r="CF495" s="126"/>
      <c r="CG495" s="126"/>
      <c r="CH495" s="126"/>
      <c r="CI495" s="126"/>
      <c r="CJ495" s="126"/>
      <c r="CK495" s="126"/>
    </row>
    <row r="496" spans="1:89" ht="9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  <c r="BD496" s="126"/>
      <c r="BE496" s="126"/>
      <c r="BF496" s="126"/>
      <c r="BG496" s="126"/>
      <c r="BH496" s="126"/>
      <c r="BI496" s="126"/>
      <c r="BJ496" s="126"/>
      <c r="BK496" s="126"/>
      <c r="BL496" s="126"/>
      <c r="BM496" s="126"/>
      <c r="BN496" s="126"/>
      <c r="BO496" s="126"/>
      <c r="BP496" s="126"/>
      <c r="BQ496" s="126"/>
      <c r="BR496" s="126"/>
      <c r="BS496" s="126"/>
      <c r="BT496" s="126"/>
      <c r="BU496" s="126"/>
      <c r="BV496" s="126"/>
      <c r="BW496" s="126"/>
      <c r="BX496" s="126"/>
      <c r="BY496" s="126"/>
      <c r="BZ496" s="126"/>
      <c r="CA496" s="126"/>
      <c r="CB496" s="126"/>
      <c r="CC496" s="126"/>
      <c r="CD496" s="126"/>
      <c r="CE496" s="126"/>
      <c r="CF496" s="126"/>
      <c r="CG496" s="126"/>
      <c r="CH496" s="126"/>
      <c r="CI496" s="126"/>
      <c r="CJ496" s="126"/>
      <c r="CK496" s="126"/>
    </row>
    <row r="497" spans="1:89" ht="9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  <c r="BD497" s="126"/>
      <c r="BE497" s="126"/>
      <c r="BF497" s="126"/>
      <c r="BG497" s="126"/>
      <c r="BH497" s="126"/>
      <c r="BI497" s="126"/>
      <c r="BJ497" s="126"/>
      <c r="BK497" s="126"/>
      <c r="BL497" s="126"/>
      <c r="BM497" s="126"/>
      <c r="BN497" s="126"/>
      <c r="BO497" s="126"/>
      <c r="BP497" s="126"/>
      <c r="BQ497" s="126"/>
      <c r="BR497" s="126"/>
      <c r="BS497" s="126"/>
      <c r="BT497" s="126"/>
      <c r="BU497" s="126"/>
      <c r="BV497" s="126"/>
      <c r="BW497" s="126"/>
      <c r="BX497" s="126"/>
      <c r="BY497" s="126"/>
      <c r="BZ497" s="126"/>
      <c r="CA497" s="126"/>
      <c r="CB497" s="126"/>
      <c r="CC497" s="126"/>
      <c r="CD497" s="126"/>
      <c r="CE497" s="126"/>
      <c r="CF497" s="126"/>
      <c r="CG497" s="126"/>
      <c r="CH497" s="126"/>
      <c r="CI497" s="126"/>
      <c r="CJ497" s="126"/>
      <c r="CK497" s="126"/>
    </row>
    <row r="498" spans="1:89" ht="9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  <c r="BD498" s="126"/>
      <c r="BE498" s="126"/>
      <c r="BF498" s="126"/>
      <c r="BG498" s="126"/>
      <c r="BH498" s="126"/>
      <c r="BI498" s="126"/>
      <c r="BJ498" s="126"/>
      <c r="BK498" s="126"/>
      <c r="BL498" s="126"/>
      <c r="BM498" s="126"/>
      <c r="BN498" s="126"/>
      <c r="BO498" s="126"/>
      <c r="BP498" s="126"/>
      <c r="BQ498" s="126"/>
      <c r="BR498" s="126"/>
      <c r="BS498" s="126"/>
      <c r="BT498" s="126"/>
      <c r="BU498" s="126"/>
      <c r="BV498" s="126"/>
      <c r="BW498" s="126"/>
      <c r="BX498" s="126"/>
      <c r="BY498" s="126"/>
      <c r="BZ498" s="126"/>
      <c r="CA498" s="126"/>
      <c r="CB498" s="126"/>
      <c r="CC498" s="126"/>
      <c r="CD498" s="126"/>
      <c r="CE498" s="126"/>
      <c r="CF498" s="126"/>
      <c r="CG498" s="126"/>
      <c r="CH498" s="126"/>
      <c r="CI498" s="126"/>
      <c r="CJ498" s="126"/>
      <c r="CK498" s="126"/>
    </row>
    <row r="499" spans="1:89" ht="9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  <c r="BD499" s="126"/>
      <c r="BE499" s="126"/>
      <c r="BF499" s="126"/>
      <c r="BG499" s="126"/>
      <c r="BH499" s="126"/>
      <c r="BI499" s="126"/>
      <c r="BJ499" s="126"/>
      <c r="BK499" s="126"/>
      <c r="BL499" s="126"/>
      <c r="BM499" s="126"/>
      <c r="BN499" s="126"/>
      <c r="BO499" s="126"/>
      <c r="BP499" s="126"/>
      <c r="BQ499" s="126"/>
      <c r="BR499" s="126"/>
      <c r="BS499" s="126"/>
      <c r="BT499" s="126"/>
      <c r="BU499" s="126"/>
      <c r="BV499" s="126"/>
      <c r="BW499" s="126"/>
      <c r="BX499" s="126"/>
      <c r="BY499" s="126"/>
      <c r="BZ499" s="126"/>
      <c r="CA499" s="126"/>
      <c r="CB499" s="126"/>
      <c r="CC499" s="126"/>
      <c r="CD499" s="126"/>
      <c r="CE499" s="126"/>
      <c r="CF499" s="126"/>
      <c r="CG499" s="126"/>
      <c r="CH499" s="126"/>
      <c r="CI499" s="126"/>
      <c r="CJ499" s="126"/>
      <c r="CK499" s="126"/>
    </row>
    <row r="500" spans="1:89" ht="9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  <c r="BD500" s="126"/>
      <c r="BE500" s="126"/>
      <c r="BF500" s="126"/>
      <c r="BG500" s="126"/>
      <c r="BH500" s="126"/>
      <c r="BI500" s="126"/>
      <c r="BJ500" s="126"/>
      <c r="BK500" s="126"/>
      <c r="BL500" s="126"/>
      <c r="BM500" s="126"/>
      <c r="BN500" s="126"/>
      <c r="BO500" s="126"/>
      <c r="BP500" s="126"/>
      <c r="BQ500" s="126"/>
      <c r="BR500" s="126"/>
      <c r="BS500" s="126"/>
      <c r="BT500" s="126"/>
      <c r="BU500" s="126"/>
      <c r="BV500" s="126"/>
      <c r="BW500" s="126"/>
      <c r="BX500" s="126"/>
      <c r="BY500" s="126"/>
      <c r="BZ500" s="126"/>
      <c r="CA500" s="126"/>
      <c r="CB500" s="126"/>
      <c r="CC500" s="126"/>
      <c r="CD500" s="126"/>
      <c r="CE500" s="126"/>
      <c r="CF500" s="126"/>
      <c r="CG500" s="126"/>
      <c r="CH500" s="126"/>
      <c r="CI500" s="126"/>
      <c r="CJ500" s="126"/>
      <c r="CK500" s="126"/>
    </row>
    <row r="501" spans="1:89" ht="9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  <c r="BD501" s="126"/>
      <c r="BE501" s="126"/>
      <c r="BF501" s="126"/>
      <c r="BG501" s="126"/>
      <c r="BH501" s="126"/>
      <c r="BI501" s="126"/>
      <c r="BJ501" s="126"/>
      <c r="BK501" s="126"/>
      <c r="BL501" s="126"/>
      <c r="BM501" s="126"/>
      <c r="BN501" s="126"/>
      <c r="BO501" s="126"/>
      <c r="BP501" s="126"/>
      <c r="BQ501" s="126"/>
      <c r="BR501" s="126"/>
      <c r="BS501" s="126"/>
      <c r="BT501" s="126"/>
      <c r="BU501" s="126"/>
      <c r="BV501" s="126"/>
      <c r="BW501" s="126"/>
      <c r="BX501" s="126"/>
      <c r="BY501" s="126"/>
      <c r="BZ501" s="126"/>
      <c r="CA501" s="126"/>
      <c r="CB501" s="126"/>
      <c r="CC501" s="126"/>
      <c r="CD501" s="126"/>
      <c r="CE501" s="126"/>
      <c r="CF501" s="126"/>
      <c r="CG501" s="126"/>
      <c r="CH501" s="126"/>
      <c r="CI501" s="126"/>
      <c r="CJ501" s="126"/>
      <c r="CK501" s="126"/>
    </row>
    <row r="502" spans="1:89" ht="9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  <c r="BD502" s="126"/>
      <c r="BE502" s="126"/>
      <c r="BF502" s="126"/>
      <c r="BG502" s="126"/>
      <c r="BH502" s="126"/>
      <c r="BI502" s="126"/>
      <c r="BJ502" s="126"/>
      <c r="BK502" s="126"/>
      <c r="BL502" s="126"/>
      <c r="BM502" s="126"/>
      <c r="BN502" s="126"/>
      <c r="BO502" s="126"/>
      <c r="BP502" s="126"/>
      <c r="BQ502" s="126"/>
      <c r="BR502" s="126"/>
      <c r="BS502" s="126"/>
      <c r="BT502" s="126"/>
      <c r="BU502" s="126"/>
      <c r="BV502" s="126"/>
      <c r="BW502" s="126"/>
      <c r="BX502" s="126"/>
      <c r="BY502" s="126"/>
      <c r="BZ502" s="126"/>
      <c r="CA502" s="126"/>
      <c r="CB502" s="126"/>
      <c r="CC502" s="126"/>
      <c r="CD502" s="126"/>
      <c r="CE502" s="126"/>
      <c r="CF502" s="126"/>
      <c r="CG502" s="126"/>
      <c r="CH502" s="126"/>
      <c r="CI502" s="126"/>
      <c r="CJ502" s="126"/>
      <c r="CK502" s="126"/>
    </row>
    <row r="503" spans="1:89" ht="9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  <c r="BD503" s="126"/>
      <c r="BE503" s="126"/>
      <c r="BF503" s="126"/>
      <c r="BG503" s="126"/>
      <c r="BH503" s="126"/>
      <c r="BI503" s="126"/>
      <c r="BJ503" s="126"/>
      <c r="BK503" s="126"/>
      <c r="BL503" s="126"/>
      <c r="BM503" s="126"/>
      <c r="BN503" s="126"/>
      <c r="BO503" s="126"/>
      <c r="BP503" s="126"/>
      <c r="BQ503" s="126"/>
      <c r="BR503" s="126"/>
      <c r="BS503" s="126"/>
      <c r="BT503" s="126"/>
      <c r="BU503" s="126"/>
      <c r="BV503" s="126"/>
      <c r="BW503" s="126"/>
      <c r="BX503" s="126"/>
      <c r="BY503" s="126"/>
      <c r="BZ503" s="126"/>
      <c r="CA503" s="126"/>
      <c r="CB503" s="126"/>
      <c r="CC503" s="126"/>
      <c r="CD503" s="126"/>
      <c r="CE503" s="126"/>
      <c r="CF503" s="126"/>
      <c r="CG503" s="126"/>
      <c r="CH503" s="126"/>
      <c r="CI503" s="126"/>
      <c r="CJ503" s="126"/>
      <c r="CK503" s="126"/>
    </row>
    <row r="504" spans="1:89" ht="9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  <c r="BD504" s="126"/>
      <c r="BE504" s="126"/>
      <c r="BF504" s="126"/>
      <c r="BG504" s="126"/>
      <c r="BH504" s="126"/>
      <c r="BI504" s="126"/>
      <c r="BJ504" s="126"/>
      <c r="BK504" s="126"/>
      <c r="BL504" s="126"/>
      <c r="BM504" s="126"/>
      <c r="BN504" s="126"/>
      <c r="BO504" s="126"/>
      <c r="BP504" s="126"/>
      <c r="BQ504" s="126"/>
      <c r="BR504" s="126"/>
      <c r="BS504" s="126"/>
      <c r="BT504" s="126"/>
      <c r="BU504" s="126"/>
      <c r="BV504" s="126"/>
      <c r="BW504" s="126"/>
      <c r="BX504" s="126"/>
      <c r="BY504" s="126"/>
      <c r="BZ504" s="126"/>
      <c r="CA504" s="126"/>
      <c r="CB504" s="126"/>
      <c r="CC504" s="126"/>
      <c r="CD504" s="126"/>
      <c r="CE504" s="126"/>
      <c r="CF504" s="126"/>
      <c r="CG504" s="126"/>
      <c r="CH504" s="126"/>
      <c r="CI504" s="126"/>
      <c r="CJ504" s="126"/>
      <c r="CK504" s="126"/>
    </row>
    <row r="505" spans="1:89" ht="9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  <c r="BD505" s="126"/>
      <c r="BE505" s="126"/>
      <c r="BF505" s="126"/>
      <c r="BG505" s="126"/>
      <c r="BH505" s="126"/>
      <c r="BI505" s="126"/>
      <c r="BJ505" s="126"/>
      <c r="BK505" s="126"/>
      <c r="BL505" s="126"/>
      <c r="BM505" s="126"/>
      <c r="BN505" s="126"/>
      <c r="BO505" s="126"/>
      <c r="BP505" s="126"/>
      <c r="BQ505" s="126"/>
      <c r="BR505" s="126"/>
      <c r="BS505" s="126"/>
      <c r="BT505" s="126"/>
      <c r="BU505" s="126"/>
      <c r="BV505" s="126"/>
      <c r="BW505" s="126"/>
      <c r="BX505" s="126"/>
      <c r="BY505" s="126"/>
      <c r="BZ505" s="126"/>
      <c r="CA505" s="126"/>
      <c r="CB505" s="126"/>
      <c r="CC505" s="126"/>
      <c r="CD505" s="126"/>
      <c r="CE505" s="126"/>
      <c r="CF505" s="126"/>
      <c r="CG505" s="126"/>
      <c r="CH505" s="126"/>
      <c r="CI505" s="126"/>
      <c r="CJ505" s="126"/>
      <c r="CK505" s="126"/>
    </row>
    <row r="506" spans="1:89" ht="9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  <c r="BD506" s="126"/>
      <c r="BE506" s="126"/>
      <c r="BF506" s="126"/>
      <c r="BG506" s="126"/>
      <c r="BH506" s="126"/>
      <c r="BI506" s="126"/>
      <c r="BJ506" s="126"/>
      <c r="BK506" s="126"/>
      <c r="BL506" s="126"/>
      <c r="BM506" s="126"/>
      <c r="BN506" s="126"/>
      <c r="BO506" s="126"/>
      <c r="BP506" s="126"/>
      <c r="BQ506" s="126"/>
      <c r="BR506" s="126"/>
      <c r="BS506" s="126"/>
      <c r="BT506" s="126"/>
      <c r="BU506" s="126"/>
      <c r="BV506" s="126"/>
      <c r="BW506" s="126"/>
      <c r="BX506" s="126"/>
      <c r="BY506" s="126"/>
      <c r="BZ506" s="126"/>
      <c r="CA506" s="126"/>
      <c r="CB506" s="126"/>
      <c r="CC506" s="126"/>
      <c r="CD506" s="126"/>
      <c r="CE506" s="126"/>
      <c r="CF506" s="126"/>
      <c r="CG506" s="126"/>
      <c r="CH506" s="126"/>
      <c r="CI506" s="126"/>
      <c r="CJ506" s="126"/>
      <c r="CK506" s="126"/>
    </row>
    <row r="507" spans="1:89" ht="9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  <c r="BD507" s="126"/>
      <c r="BE507" s="126"/>
      <c r="BF507" s="126"/>
      <c r="BG507" s="126"/>
      <c r="BH507" s="126"/>
      <c r="BI507" s="126"/>
      <c r="BJ507" s="126"/>
      <c r="BK507" s="126"/>
      <c r="BL507" s="126"/>
      <c r="BM507" s="126"/>
      <c r="BN507" s="126"/>
      <c r="BO507" s="126"/>
      <c r="BP507" s="126"/>
      <c r="BQ507" s="126"/>
      <c r="BR507" s="126"/>
      <c r="BS507" s="126"/>
      <c r="BT507" s="126"/>
      <c r="BU507" s="126"/>
      <c r="BV507" s="126"/>
      <c r="BW507" s="126"/>
      <c r="BX507" s="126"/>
      <c r="BY507" s="126"/>
      <c r="BZ507" s="126"/>
      <c r="CA507" s="126"/>
      <c r="CB507" s="126"/>
      <c r="CC507" s="126"/>
      <c r="CD507" s="126"/>
      <c r="CE507" s="126"/>
      <c r="CF507" s="126"/>
      <c r="CG507" s="126"/>
      <c r="CH507" s="126"/>
      <c r="CI507" s="126"/>
      <c r="CJ507" s="126"/>
      <c r="CK507" s="126"/>
    </row>
    <row r="508" spans="1:89" ht="9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  <c r="BD508" s="126"/>
      <c r="BE508" s="126"/>
      <c r="BF508" s="126"/>
      <c r="BG508" s="126"/>
      <c r="BH508" s="126"/>
      <c r="BI508" s="126"/>
      <c r="BJ508" s="126"/>
      <c r="BK508" s="126"/>
      <c r="BL508" s="126"/>
      <c r="BM508" s="126"/>
      <c r="BN508" s="126"/>
      <c r="BO508" s="126"/>
      <c r="BP508" s="126"/>
      <c r="BQ508" s="126"/>
      <c r="BR508" s="126"/>
      <c r="BS508" s="126"/>
      <c r="BT508" s="126"/>
      <c r="BU508" s="126"/>
      <c r="BV508" s="126"/>
      <c r="BW508" s="126"/>
      <c r="BX508" s="126"/>
      <c r="BY508" s="126"/>
      <c r="BZ508" s="126"/>
      <c r="CA508" s="126"/>
      <c r="CB508" s="126"/>
      <c r="CC508" s="126"/>
      <c r="CD508" s="126"/>
      <c r="CE508" s="126"/>
      <c r="CF508" s="126"/>
      <c r="CG508" s="126"/>
      <c r="CH508" s="126"/>
      <c r="CI508" s="126"/>
      <c r="CJ508" s="126"/>
      <c r="CK508" s="126"/>
    </row>
    <row r="509" spans="1:89" ht="9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  <c r="BD509" s="126"/>
      <c r="BE509" s="126"/>
      <c r="BF509" s="126"/>
      <c r="BG509" s="126"/>
      <c r="BH509" s="126"/>
      <c r="BI509" s="126"/>
      <c r="BJ509" s="126"/>
      <c r="BK509" s="126"/>
      <c r="BL509" s="126"/>
      <c r="BM509" s="126"/>
      <c r="BN509" s="126"/>
      <c r="BO509" s="126"/>
      <c r="BP509" s="126"/>
      <c r="BQ509" s="126"/>
      <c r="BR509" s="126"/>
      <c r="BS509" s="126"/>
      <c r="BT509" s="126"/>
      <c r="BU509" s="126"/>
      <c r="BV509" s="126"/>
      <c r="BW509" s="126"/>
      <c r="BX509" s="126"/>
      <c r="BY509" s="126"/>
      <c r="BZ509" s="126"/>
      <c r="CA509" s="126"/>
      <c r="CB509" s="126"/>
      <c r="CC509" s="126"/>
      <c r="CD509" s="126"/>
      <c r="CE509" s="126"/>
      <c r="CF509" s="126"/>
      <c r="CG509" s="126"/>
      <c r="CH509" s="126"/>
      <c r="CI509" s="126"/>
      <c r="CJ509" s="126"/>
      <c r="CK509" s="126"/>
    </row>
    <row r="510" spans="1:89" ht="9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  <c r="BD510" s="126"/>
      <c r="BE510" s="126"/>
      <c r="BF510" s="126"/>
      <c r="BG510" s="126"/>
      <c r="BH510" s="126"/>
      <c r="BI510" s="126"/>
      <c r="BJ510" s="126"/>
      <c r="BK510" s="126"/>
      <c r="BL510" s="126"/>
      <c r="BM510" s="126"/>
      <c r="BN510" s="126"/>
      <c r="BO510" s="126"/>
      <c r="BP510" s="126"/>
      <c r="BQ510" s="126"/>
      <c r="BR510" s="126"/>
      <c r="BS510" s="126"/>
      <c r="BT510" s="126"/>
      <c r="BU510" s="126"/>
      <c r="BV510" s="126"/>
      <c r="BW510" s="126"/>
      <c r="BX510" s="126"/>
      <c r="BY510" s="126"/>
      <c r="BZ510" s="126"/>
      <c r="CA510" s="126"/>
      <c r="CB510" s="126"/>
      <c r="CC510" s="126"/>
      <c r="CD510" s="126"/>
      <c r="CE510" s="126"/>
      <c r="CF510" s="126"/>
      <c r="CG510" s="126"/>
      <c r="CH510" s="126"/>
      <c r="CI510" s="126"/>
      <c r="CJ510" s="126"/>
      <c r="CK510" s="126"/>
    </row>
    <row r="511" spans="1:89" ht="9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  <c r="BD511" s="126"/>
      <c r="BE511" s="126"/>
      <c r="BF511" s="126"/>
      <c r="BG511" s="126"/>
      <c r="BH511" s="126"/>
      <c r="BI511" s="126"/>
      <c r="BJ511" s="126"/>
      <c r="BK511" s="126"/>
      <c r="BL511" s="126"/>
      <c r="BM511" s="126"/>
      <c r="BN511" s="126"/>
      <c r="BO511" s="126"/>
      <c r="BP511" s="126"/>
      <c r="BQ511" s="126"/>
      <c r="BR511" s="126"/>
      <c r="BS511" s="126"/>
      <c r="BT511" s="126"/>
      <c r="BU511" s="126"/>
      <c r="BV511" s="126"/>
      <c r="BW511" s="126"/>
      <c r="BX511" s="126"/>
      <c r="BY511" s="126"/>
      <c r="BZ511" s="126"/>
      <c r="CA511" s="126"/>
      <c r="CB511" s="126"/>
      <c r="CC511" s="126"/>
      <c r="CD511" s="126"/>
      <c r="CE511" s="126"/>
      <c r="CF511" s="126"/>
      <c r="CG511" s="126"/>
      <c r="CH511" s="126"/>
      <c r="CI511" s="126"/>
      <c r="CJ511" s="126"/>
      <c r="CK511" s="126"/>
    </row>
    <row r="512" spans="1:89" ht="9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  <c r="BD512" s="126"/>
      <c r="BE512" s="126"/>
      <c r="BF512" s="126"/>
      <c r="BG512" s="126"/>
      <c r="BH512" s="126"/>
      <c r="BI512" s="126"/>
      <c r="BJ512" s="126"/>
      <c r="BK512" s="126"/>
      <c r="BL512" s="126"/>
      <c r="BM512" s="126"/>
      <c r="BN512" s="126"/>
      <c r="BO512" s="126"/>
      <c r="BP512" s="126"/>
      <c r="BQ512" s="126"/>
      <c r="BR512" s="126"/>
      <c r="BS512" s="126"/>
      <c r="BT512" s="126"/>
      <c r="BU512" s="126"/>
      <c r="BV512" s="126"/>
      <c r="BW512" s="126"/>
      <c r="BX512" s="126"/>
      <c r="BY512" s="126"/>
      <c r="BZ512" s="126"/>
      <c r="CA512" s="126"/>
      <c r="CB512" s="126"/>
      <c r="CC512" s="126"/>
      <c r="CD512" s="126"/>
      <c r="CE512" s="126"/>
      <c r="CF512" s="126"/>
      <c r="CG512" s="126"/>
      <c r="CH512" s="126"/>
      <c r="CI512" s="126"/>
      <c r="CJ512" s="126"/>
      <c r="CK512" s="126"/>
    </row>
    <row r="513" spans="1:89" ht="9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  <c r="BD513" s="126"/>
      <c r="BE513" s="126"/>
      <c r="BF513" s="126"/>
      <c r="BG513" s="126"/>
      <c r="BH513" s="126"/>
      <c r="BI513" s="126"/>
      <c r="BJ513" s="126"/>
      <c r="BK513" s="126"/>
      <c r="BL513" s="126"/>
      <c r="BM513" s="126"/>
      <c r="BN513" s="126"/>
      <c r="BO513" s="126"/>
      <c r="BP513" s="126"/>
      <c r="BQ513" s="126"/>
      <c r="BR513" s="126"/>
      <c r="BS513" s="126"/>
      <c r="BT513" s="126"/>
      <c r="BU513" s="126"/>
      <c r="BV513" s="126"/>
      <c r="BW513" s="126"/>
      <c r="BX513" s="126"/>
      <c r="BY513" s="126"/>
      <c r="BZ513" s="126"/>
      <c r="CA513" s="126"/>
      <c r="CB513" s="126"/>
      <c r="CC513" s="126"/>
      <c r="CD513" s="126"/>
      <c r="CE513" s="126"/>
      <c r="CF513" s="126"/>
      <c r="CG513" s="126"/>
      <c r="CH513" s="126"/>
      <c r="CI513" s="126"/>
      <c r="CJ513" s="126"/>
      <c r="CK513" s="126"/>
    </row>
    <row r="514" spans="1:89" ht="9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  <c r="BD514" s="126"/>
      <c r="BE514" s="126"/>
      <c r="BF514" s="126"/>
      <c r="BG514" s="126"/>
      <c r="BH514" s="126"/>
      <c r="BI514" s="126"/>
      <c r="BJ514" s="126"/>
      <c r="BK514" s="126"/>
      <c r="BL514" s="126"/>
      <c r="BM514" s="126"/>
      <c r="BN514" s="126"/>
      <c r="BO514" s="126"/>
      <c r="BP514" s="126"/>
      <c r="BQ514" s="126"/>
      <c r="BR514" s="126"/>
      <c r="BS514" s="126"/>
      <c r="BT514" s="126"/>
      <c r="BU514" s="126"/>
      <c r="BV514" s="126"/>
      <c r="BW514" s="126"/>
      <c r="BX514" s="126"/>
      <c r="BY514" s="126"/>
      <c r="BZ514" s="126"/>
      <c r="CA514" s="126"/>
      <c r="CB514" s="126"/>
      <c r="CC514" s="126"/>
      <c r="CD514" s="126"/>
      <c r="CE514" s="126"/>
      <c r="CF514" s="126"/>
      <c r="CG514" s="126"/>
      <c r="CH514" s="126"/>
      <c r="CI514" s="126"/>
      <c r="CJ514" s="126"/>
      <c r="CK514" s="126"/>
    </row>
    <row r="515" spans="1:89" ht="9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  <c r="BD515" s="126"/>
      <c r="BE515" s="126"/>
      <c r="BF515" s="126"/>
      <c r="BG515" s="126"/>
      <c r="BH515" s="126"/>
      <c r="BI515" s="126"/>
      <c r="BJ515" s="126"/>
      <c r="BK515" s="126"/>
      <c r="BL515" s="126"/>
      <c r="BM515" s="126"/>
      <c r="BN515" s="126"/>
      <c r="BO515" s="126"/>
      <c r="BP515" s="126"/>
      <c r="BQ515" s="126"/>
      <c r="BR515" s="126"/>
      <c r="BS515" s="126"/>
      <c r="BT515" s="126"/>
      <c r="BU515" s="126"/>
      <c r="BV515" s="126"/>
      <c r="BW515" s="126"/>
      <c r="BX515" s="126"/>
      <c r="BY515" s="126"/>
      <c r="BZ515" s="126"/>
      <c r="CA515" s="126"/>
      <c r="CB515" s="126"/>
      <c r="CC515" s="126"/>
      <c r="CD515" s="126"/>
      <c r="CE515" s="126"/>
      <c r="CF515" s="126"/>
      <c r="CG515" s="126"/>
      <c r="CH515" s="126"/>
      <c r="CI515" s="126"/>
      <c r="CJ515" s="126"/>
      <c r="CK515" s="126"/>
    </row>
    <row r="516" spans="1:89" ht="9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  <c r="BD516" s="126"/>
      <c r="BE516" s="126"/>
      <c r="BF516" s="126"/>
      <c r="BG516" s="126"/>
      <c r="BH516" s="126"/>
      <c r="BI516" s="126"/>
      <c r="BJ516" s="126"/>
      <c r="BK516" s="126"/>
      <c r="BL516" s="126"/>
      <c r="BM516" s="126"/>
      <c r="BN516" s="126"/>
      <c r="BO516" s="126"/>
      <c r="BP516" s="126"/>
      <c r="BQ516" s="126"/>
      <c r="BR516" s="126"/>
      <c r="BS516" s="126"/>
      <c r="BT516" s="126"/>
      <c r="BU516" s="126"/>
      <c r="BV516" s="126"/>
      <c r="BW516" s="126"/>
      <c r="BX516" s="126"/>
      <c r="BY516" s="126"/>
      <c r="BZ516" s="126"/>
      <c r="CA516" s="126"/>
      <c r="CB516" s="126"/>
      <c r="CC516" s="126"/>
      <c r="CD516" s="126"/>
      <c r="CE516" s="126"/>
      <c r="CF516" s="126"/>
      <c r="CG516" s="126"/>
      <c r="CH516" s="126"/>
      <c r="CI516" s="126"/>
      <c r="CJ516" s="126"/>
      <c r="CK516" s="126"/>
    </row>
    <row r="517" spans="1:89" ht="9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  <c r="BD517" s="126"/>
      <c r="BE517" s="126"/>
      <c r="BF517" s="126"/>
      <c r="BG517" s="126"/>
      <c r="BH517" s="126"/>
      <c r="BI517" s="126"/>
      <c r="BJ517" s="126"/>
      <c r="BK517" s="126"/>
      <c r="BL517" s="126"/>
      <c r="BM517" s="126"/>
      <c r="BN517" s="126"/>
      <c r="BO517" s="126"/>
      <c r="BP517" s="126"/>
      <c r="BQ517" s="126"/>
      <c r="BR517" s="126"/>
      <c r="BS517" s="126"/>
      <c r="BT517" s="126"/>
      <c r="BU517" s="126"/>
      <c r="BV517" s="126"/>
      <c r="BW517" s="126"/>
      <c r="BX517" s="126"/>
      <c r="BY517" s="126"/>
      <c r="BZ517" s="126"/>
      <c r="CA517" s="126"/>
      <c r="CB517" s="126"/>
      <c r="CC517" s="126"/>
      <c r="CD517" s="126"/>
      <c r="CE517" s="126"/>
      <c r="CF517" s="126"/>
      <c r="CG517" s="126"/>
      <c r="CH517" s="126"/>
      <c r="CI517" s="126"/>
      <c r="CJ517" s="126"/>
      <c r="CK517" s="126"/>
    </row>
    <row r="518" spans="1:89" ht="9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  <c r="BD518" s="126"/>
      <c r="BE518" s="126"/>
      <c r="BF518" s="126"/>
      <c r="BG518" s="126"/>
      <c r="BH518" s="126"/>
      <c r="BI518" s="126"/>
      <c r="BJ518" s="126"/>
      <c r="BK518" s="126"/>
      <c r="BL518" s="126"/>
      <c r="BM518" s="126"/>
      <c r="BN518" s="126"/>
      <c r="BO518" s="126"/>
      <c r="BP518" s="126"/>
      <c r="BQ518" s="126"/>
      <c r="BR518" s="126"/>
      <c r="BS518" s="126"/>
      <c r="BT518" s="126"/>
      <c r="BU518" s="126"/>
      <c r="BV518" s="126"/>
      <c r="BW518" s="126"/>
      <c r="BX518" s="126"/>
      <c r="BY518" s="126"/>
      <c r="BZ518" s="126"/>
      <c r="CA518" s="126"/>
      <c r="CB518" s="126"/>
      <c r="CC518" s="126"/>
      <c r="CD518" s="126"/>
      <c r="CE518" s="126"/>
      <c r="CF518" s="126"/>
      <c r="CG518" s="126"/>
      <c r="CH518" s="126"/>
      <c r="CI518" s="126"/>
      <c r="CJ518" s="126"/>
      <c r="CK518" s="126"/>
    </row>
    <row r="519" spans="1:89" ht="9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  <c r="BD519" s="126"/>
      <c r="BE519" s="126"/>
      <c r="BF519" s="126"/>
      <c r="BG519" s="126"/>
      <c r="BH519" s="126"/>
      <c r="BI519" s="126"/>
      <c r="BJ519" s="126"/>
      <c r="BK519" s="126"/>
      <c r="BL519" s="126"/>
      <c r="BM519" s="126"/>
      <c r="BN519" s="126"/>
      <c r="BO519" s="126"/>
      <c r="BP519" s="126"/>
      <c r="BQ519" s="126"/>
      <c r="BR519" s="126"/>
      <c r="BS519" s="126"/>
      <c r="BT519" s="126"/>
      <c r="BU519" s="126"/>
      <c r="BV519" s="126"/>
      <c r="BW519" s="126"/>
      <c r="BX519" s="126"/>
      <c r="BY519" s="126"/>
      <c r="BZ519" s="126"/>
      <c r="CA519" s="126"/>
      <c r="CB519" s="126"/>
      <c r="CC519" s="126"/>
      <c r="CD519" s="126"/>
      <c r="CE519" s="126"/>
      <c r="CF519" s="126"/>
      <c r="CG519" s="126"/>
      <c r="CH519" s="126"/>
      <c r="CI519" s="126"/>
      <c r="CJ519" s="126"/>
      <c r="CK519" s="126"/>
    </row>
    <row r="520" spans="1:89" ht="9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  <c r="BD520" s="126"/>
      <c r="BE520" s="126"/>
      <c r="BF520" s="126"/>
      <c r="BG520" s="126"/>
      <c r="BH520" s="126"/>
      <c r="BI520" s="126"/>
      <c r="BJ520" s="126"/>
      <c r="BK520" s="126"/>
      <c r="BL520" s="126"/>
      <c r="BM520" s="126"/>
      <c r="BN520" s="126"/>
      <c r="BO520" s="126"/>
      <c r="BP520" s="126"/>
      <c r="BQ520" s="126"/>
      <c r="BR520" s="126"/>
      <c r="BS520" s="126"/>
      <c r="BT520" s="126"/>
      <c r="BU520" s="126"/>
      <c r="BV520" s="126"/>
      <c r="BW520" s="126"/>
      <c r="BX520" s="126"/>
      <c r="BY520" s="126"/>
      <c r="BZ520" s="126"/>
      <c r="CA520" s="126"/>
      <c r="CB520" s="126"/>
      <c r="CC520" s="126"/>
      <c r="CD520" s="126"/>
      <c r="CE520" s="126"/>
      <c r="CF520" s="126"/>
      <c r="CG520" s="126"/>
      <c r="CH520" s="126"/>
      <c r="CI520" s="126"/>
      <c r="CJ520" s="126"/>
      <c r="CK520" s="126"/>
    </row>
    <row r="521" spans="1:89" ht="9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  <c r="BD521" s="126"/>
      <c r="BE521" s="126"/>
      <c r="BF521" s="126"/>
      <c r="BG521" s="126"/>
      <c r="BH521" s="126"/>
      <c r="BI521" s="126"/>
      <c r="BJ521" s="126"/>
      <c r="BK521" s="126"/>
      <c r="BL521" s="126"/>
      <c r="BM521" s="126"/>
      <c r="BN521" s="126"/>
      <c r="BO521" s="126"/>
      <c r="BP521" s="126"/>
      <c r="BQ521" s="126"/>
      <c r="BR521" s="126"/>
      <c r="BS521" s="126"/>
      <c r="BT521" s="126"/>
      <c r="BU521" s="126"/>
      <c r="BV521" s="126"/>
      <c r="BW521" s="126"/>
      <c r="BX521" s="126"/>
      <c r="BY521" s="126"/>
      <c r="BZ521" s="126"/>
      <c r="CA521" s="126"/>
      <c r="CB521" s="126"/>
      <c r="CC521" s="126"/>
      <c r="CD521" s="126"/>
      <c r="CE521" s="126"/>
      <c r="CF521" s="126"/>
      <c r="CG521" s="126"/>
      <c r="CH521" s="126"/>
      <c r="CI521" s="126"/>
      <c r="CJ521" s="126"/>
      <c r="CK521" s="126"/>
    </row>
    <row r="522" spans="1:89" ht="9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  <c r="BD522" s="126"/>
      <c r="BE522" s="126"/>
      <c r="BF522" s="126"/>
      <c r="BG522" s="126"/>
      <c r="BH522" s="126"/>
      <c r="BI522" s="126"/>
      <c r="BJ522" s="126"/>
      <c r="BK522" s="126"/>
      <c r="BL522" s="126"/>
      <c r="BM522" s="126"/>
      <c r="BN522" s="126"/>
      <c r="BO522" s="126"/>
      <c r="BP522" s="126"/>
      <c r="BQ522" s="126"/>
      <c r="BR522" s="126"/>
      <c r="BS522" s="126"/>
      <c r="BT522" s="126"/>
      <c r="BU522" s="126"/>
      <c r="BV522" s="126"/>
      <c r="BW522" s="126"/>
      <c r="BX522" s="126"/>
      <c r="BY522" s="126"/>
      <c r="BZ522" s="126"/>
      <c r="CA522" s="126"/>
      <c r="CB522" s="126"/>
      <c r="CC522" s="126"/>
      <c r="CD522" s="126"/>
      <c r="CE522" s="126"/>
      <c r="CF522" s="126"/>
      <c r="CG522" s="126"/>
      <c r="CH522" s="126"/>
      <c r="CI522" s="126"/>
      <c r="CJ522" s="126"/>
      <c r="CK522" s="126"/>
    </row>
    <row r="523" spans="1:89" ht="9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  <c r="BD523" s="126"/>
      <c r="BE523" s="126"/>
      <c r="BF523" s="126"/>
      <c r="BG523" s="126"/>
      <c r="BH523" s="126"/>
      <c r="BI523" s="126"/>
      <c r="BJ523" s="126"/>
      <c r="BK523" s="126"/>
      <c r="BL523" s="126"/>
      <c r="BM523" s="126"/>
      <c r="BN523" s="126"/>
      <c r="BO523" s="126"/>
      <c r="BP523" s="126"/>
      <c r="BQ523" s="126"/>
      <c r="BR523" s="126"/>
      <c r="BS523" s="126"/>
      <c r="BT523" s="126"/>
      <c r="BU523" s="126"/>
      <c r="BV523" s="126"/>
      <c r="BW523" s="126"/>
      <c r="BX523" s="126"/>
      <c r="BY523" s="126"/>
      <c r="BZ523" s="126"/>
      <c r="CA523" s="126"/>
      <c r="CB523" s="126"/>
      <c r="CC523" s="126"/>
      <c r="CD523" s="126"/>
      <c r="CE523" s="126"/>
      <c r="CF523" s="126"/>
      <c r="CG523" s="126"/>
      <c r="CH523" s="126"/>
      <c r="CI523" s="126"/>
      <c r="CJ523" s="126"/>
      <c r="CK523" s="126"/>
    </row>
    <row r="524" spans="1:89" ht="9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  <c r="BD524" s="126"/>
      <c r="BE524" s="126"/>
      <c r="BF524" s="126"/>
      <c r="BG524" s="126"/>
      <c r="BH524" s="126"/>
      <c r="BI524" s="126"/>
      <c r="BJ524" s="126"/>
      <c r="BK524" s="126"/>
      <c r="BL524" s="126"/>
      <c r="BM524" s="126"/>
      <c r="BN524" s="126"/>
      <c r="BO524" s="126"/>
      <c r="BP524" s="126"/>
      <c r="BQ524" s="126"/>
      <c r="BR524" s="126"/>
      <c r="BS524" s="126"/>
      <c r="BT524" s="126"/>
      <c r="BU524" s="126"/>
      <c r="BV524" s="126"/>
      <c r="BW524" s="126"/>
      <c r="BX524" s="126"/>
      <c r="BY524" s="126"/>
      <c r="BZ524" s="126"/>
      <c r="CA524" s="126"/>
      <c r="CB524" s="126"/>
      <c r="CC524" s="126"/>
      <c r="CD524" s="126"/>
      <c r="CE524" s="126"/>
      <c r="CF524" s="126"/>
      <c r="CG524" s="126"/>
      <c r="CH524" s="126"/>
      <c r="CI524" s="126"/>
      <c r="CJ524" s="126"/>
      <c r="CK524" s="126"/>
    </row>
    <row r="525" spans="1:89" ht="9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  <c r="BD525" s="126"/>
      <c r="BE525" s="126"/>
      <c r="BF525" s="126"/>
      <c r="BG525" s="126"/>
      <c r="BH525" s="126"/>
      <c r="BI525" s="126"/>
      <c r="BJ525" s="126"/>
      <c r="BK525" s="126"/>
      <c r="BL525" s="126"/>
      <c r="BM525" s="126"/>
      <c r="BN525" s="126"/>
      <c r="BO525" s="126"/>
      <c r="BP525" s="126"/>
      <c r="BQ525" s="126"/>
      <c r="BR525" s="126"/>
      <c r="BS525" s="126"/>
      <c r="BT525" s="126"/>
      <c r="BU525" s="126"/>
      <c r="BV525" s="126"/>
      <c r="BW525" s="126"/>
      <c r="BX525" s="126"/>
      <c r="BY525" s="126"/>
      <c r="BZ525" s="126"/>
      <c r="CA525" s="126"/>
      <c r="CB525" s="126"/>
      <c r="CC525" s="126"/>
      <c r="CD525" s="126"/>
      <c r="CE525" s="126"/>
      <c r="CF525" s="126"/>
      <c r="CG525" s="126"/>
      <c r="CH525" s="126"/>
      <c r="CI525" s="126"/>
      <c r="CJ525" s="126"/>
      <c r="CK525" s="126"/>
    </row>
    <row r="526" spans="1:89" ht="9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  <c r="BD526" s="126"/>
      <c r="BE526" s="126"/>
      <c r="BF526" s="126"/>
      <c r="BG526" s="126"/>
      <c r="BH526" s="126"/>
      <c r="BI526" s="126"/>
      <c r="BJ526" s="126"/>
      <c r="BK526" s="126"/>
      <c r="BL526" s="126"/>
      <c r="BM526" s="126"/>
      <c r="BN526" s="126"/>
      <c r="BO526" s="126"/>
      <c r="BP526" s="126"/>
      <c r="BQ526" s="126"/>
      <c r="BR526" s="126"/>
      <c r="BS526" s="126"/>
      <c r="BT526" s="126"/>
      <c r="BU526" s="126"/>
      <c r="BV526" s="126"/>
      <c r="BW526" s="126"/>
      <c r="BX526" s="126"/>
      <c r="BY526" s="126"/>
      <c r="BZ526" s="126"/>
      <c r="CA526" s="126"/>
      <c r="CB526" s="126"/>
      <c r="CC526" s="126"/>
      <c r="CD526" s="126"/>
      <c r="CE526" s="126"/>
      <c r="CF526" s="126"/>
      <c r="CG526" s="126"/>
      <c r="CH526" s="126"/>
      <c r="CI526" s="126"/>
      <c r="CJ526" s="126"/>
      <c r="CK526" s="126"/>
    </row>
    <row r="527" spans="1:89" ht="9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  <c r="BD527" s="126"/>
      <c r="BE527" s="126"/>
      <c r="BF527" s="126"/>
      <c r="BG527" s="126"/>
      <c r="BH527" s="126"/>
      <c r="BI527" s="126"/>
      <c r="BJ527" s="126"/>
      <c r="BK527" s="126"/>
      <c r="BL527" s="126"/>
      <c r="BM527" s="126"/>
      <c r="BN527" s="126"/>
      <c r="BO527" s="126"/>
      <c r="BP527" s="126"/>
      <c r="BQ527" s="126"/>
      <c r="BR527" s="126"/>
      <c r="BS527" s="126"/>
      <c r="BT527" s="126"/>
      <c r="BU527" s="126"/>
      <c r="BV527" s="126"/>
      <c r="BW527" s="126"/>
      <c r="BX527" s="126"/>
      <c r="BY527" s="126"/>
      <c r="BZ527" s="126"/>
      <c r="CA527" s="126"/>
      <c r="CB527" s="126"/>
      <c r="CC527" s="126"/>
      <c r="CD527" s="126"/>
      <c r="CE527" s="126"/>
      <c r="CF527" s="126"/>
      <c r="CG527" s="126"/>
      <c r="CH527" s="126"/>
      <c r="CI527" s="126"/>
      <c r="CJ527" s="126"/>
      <c r="CK527" s="126"/>
    </row>
    <row r="528" spans="1:89" ht="9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  <c r="BD528" s="126"/>
      <c r="BE528" s="126"/>
      <c r="BF528" s="126"/>
      <c r="BG528" s="126"/>
      <c r="BH528" s="126"/>
      <c r="BI528" s="126"/>
      <c r="BJ528" s="126"/>
      <c r="BK528" s="126"/>
      <c r="BL528" s="126"/>
      <c r="BM528" s="126"/>
      <c r="BN528" s="126"/>
      <c r="BO528" s="126"/>
      <c r="BP528" s="126"/>
      <c r="BQ528" s="126"/>
      <c r="BR528" s="126"/>
      <c r="BS528" s="126"/>
      <c r="BT528" s="126"/>
      <c r="BU528" s="126"/>
      <c r="BV528" s="126"/>
      <c r="BW528" s="126"/>
      <c r="BX528" s="126"/>
      <c r="BY528" s="126"/>
      <c r="BZ528" s="126"/>
      <c r="CA528" s="126"/>
      <c r="CB528" s="126"/>
      <c r="CC528" s="126"/>
      <c r="CD528" s="126"/>
      <c r="CE528" s="126"/>
      <c r="CF528" s="126"/>
      <c r="CG528" s="126"/>
      <c r="CH528" s="126"/>
      <c r="CI528" s="126"/>
      <c r="CJ528" s="126"/>
      <c r="CK528" s="126"/>
    </row>
    <row r="529" spans="1:89" ht="9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  <c r="BD529" s="126"/>
      <c r="BE529" s="126"/>
      <c r="BF529" s="126"/>
      <c r="BG529" s="126"/>
      <c r="BH529" s="126"/>
      <c r="BI529" s="126"/>
      <c r="BJ529" s="126"/>
      <c r="BK529" s="126"/>
      <c r="BL529" s="126"/>
      <c r="BM529" s="126"/>
      <c r="BN529" s="126"/>
      <c r="BO529" s="126"/>
      <c r="BP529" s="126"/>
      <c r="BQ529" s="126"/>
      <c r="BR529" s="126"/>
      <c r="BS529" s="126"/>
      <c r="BT529" s="126"/>
      <c r="BU529" s="126"/>
      <c r="BV529" s="126"/>
      <c r="BW529" s="126"/>
      <c r="BX529" s="126"/>
      <c r="BY529" s="126"/>
      <c r="BZ529" s="126"/>
      <c r="CA529" s="126"/>
      <c r="CB529" s="126"/>
      <c r="CC529" s="126"/>
      <c r="CD529" s="126"/>
      <c r="CE529" s="126"/>
      <c r="CF529" s="126"/>
      <c r="CG529" s="126"/>
      <c r="CH529" s="126"/>
      <c r="CI529" s="126"/>
      <c r="CJ529" s="126"/>
      <c r="CK529" s="126"/>
    </row>
    <row r="530" spans="1:89" ht="9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  <c r="BD530" s="126"/>
      <c r="BE530" s="126"/>
      <c r="BF530" s="126"/>
      <c r="BG530" s="126"/>
      <c r="BH530" s="126"/>
      <c r="BI530" s="126"/>
      <c r="BJ530" s="126"/>
      <c r="BK530" s="126"/>
      <c r="BL530" s="126"/>
      <c r="BM530" s="126"/>
      <c r="BN530" s="126"/>
      <c r="BO530" s="126"/>
      <c r="BP530" s="126"/>
      <c r="BQ530" s="126"/>
      <c r="BR530" s="126"/>
      <c r="BS530" s="126"/>
      <c r="BT530" s="126"/>
      <c r="BU530" s="126"/>
      <c r="BV530" s="126"/>
      <c r="BW530" s="126"/>
      <c r="BX530" s="126"/>
      <c r="BY530" s="126"/>
      <c r="BZ530" s="126"/>
      <c r="CA530" s="126"/>
      <c r="CB530" s="126"/>
      <c r="CC530" s="126"/>
      <c r="CD530" s="126"/>
      <c r="CE530" s="126"/>
      <c r="CF530" s="126"/>
      <c r="CG530" s="126"/>
      <c r="CH530" s="126"/>
      <c r="CI530" s="126"/>
      <c r="CJ530" s="126"/>
      <c r="CK530" s="126"/>
    </row>
    <row r="531" spans="1:89" ht="9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  <c r="BD531" s="126"/>
      <c r="BE531" s="126"/>
      <c r="BF531" s="126"/>
      <c r="BG531" s="126"/>
      <c r="BH531" s="126"/>
      <c r="BI531" s="126"/>
      <c r="BJ531" s="126"/>
      <c r="BK531" s="126"/>
      <c r="BL531" s="126"/>
      <c r="BM531" s="126"/>
      <c r="BN531" s="126"/>
      <c r="BO531" s="126"/>
      <c r="BP531" s="126"/>
      <c r="BQ531" s="126"/>
      <c r="BR531" s="126"/>
      <c r="BS531" s="126"/>
      <c r="BT531" s="126"/>
      <c r="BU531" s="126"/>
      <c r="BV531" s="126"/>
      <c r="BW531" s="126"/>
      <c r="BX531" s="126"/>
      <c r="BY531" s="126"/>
      <c r="BZ531" s="126"/>
      <c r="CA531" s="126"/>
      <c r="CB531" s="126"/>
      <c r="CC531" s="126"/>
      <c r="CD531" s="126"/>
      <c r="CE531" s="126"/>
      <c r="CF531" s="126"/>
      <c r="CG531" s="126"/>
      <c r="CH531" s="126"/>
      <c r="CI531" s="126"/>
      <c r="CJ531" s="126"/>
      <c r="CK531" s="126"/>
    </row>
    <row r="532" spans="1:89" ht="9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  <c r="BD532" s="126"/>
      <c r="BE532" s="126"/>
      <c r="BF532" s="126"/>
      <c r="BG532" s="126"/>
      <c r="BH532" s="126"/>
      <c r="BI532" s="126"/>
      <c r="BJ532" s="126"/>
      <c r="BK532" s="126"/>
      <c r="BL532" s="126"/>
      <c r="BM532" s="126"/>
      <c r="BN532" s="126"/>
      <c r="BO532" s="126"/>
      <c r="BP532" s="126"/>
      <c r="BQ532" s="126"/>
      <c r="BR532" s="126"/>
      <c r="BS532" s="126"/>
      <c r="BT532" s="126"/>
      <c r="BU532" s="126"/>
      <c r="BV532" s="126"/>
      <c r="BW532" s="126"/>
      <c r="BX532" s="126"/>
      <c r="BY532" s="126"/>
      <c r="BZ532" s="126"/>
      <c r="CA532" s="126"/>
      <c r="CB532" s="126"/>
      <c r="CC532" s="126"/>
      <c r="CD532" s="126"/>
      <c r="CE532" s="126"/>
      <c r="CF532" s="126"/>
      <c r="CG532" s="126"/>
      <c r="CH532" s="126"/>
      <c r="CI532" s="126"/>
      <c r="CJ532" s="126"/>
      <c r="CK532" s="126"/>
    </row>
    <row r="533" spans="1:89" ht="9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  <c r="BD533" s="126"/>
      <c r="BE533" s="126"/>
      <c r="BF533" s="126"/>
      <c r="BG533" s="126"/>
      <c r="BH533" s="126"/>
      <c r="BI533" s="126"/>
      <c r="BJ533" s="126"/>
      <c r="BK533" s="126"/>
      <c r="BL533" s="126"/>
      <c r="BM533" s="126"/>
      <c r="BN533" s="126"/>
      <c r="BO533" s="126"/>
      <c r="BP533" s="126"/>
      <c r="BQ533" s="126"/>
      <c r="BR533" s="126"/>
      <c r="BS533" s="126"/>
      <c r="BT533" s="126"/>
      <c r="BU533" s="126"/>
      <c r="BV533" s="126"/>
      <c r="BW533" s="126"/>
      <c r="BX533" s="126"/>
      <c r="BY533" s="126"/>
      <c r="BZ533" s="126"/>
      <c r="CA533" s="126"/>
      <c r="CB533" s="126"/>
      <c r="CC533" s="126"/>
      <c r="CD533" s="126"/>
      <c r="CE533" s="126"/>
      <c r="CF533" s="126"/>
      <c r="CG533" s="126"/>
      <c r="CH533" s="126"/>
      <c r="CI533" s="126"/>
      <c r="CJ533" s="126"/>
      <c r="CK533" s="126"/>
    </row>
    <row r="534" spans="1:89" ht="9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  <c r="BD534" s="126"/>
      <c r="BE534" s="126"/>
      <c r="BF534" s="126"/>
      <c r="BG534" s="126"/>
      <c r="BH534" s="126"/>
      <c r="BI534" s="126"/>
      <c r="BJ534" s="126"/>
      <c r="BK534" s="126"/>
      <c r="BL534" s="126"/>
      <c r="BM534" s="126"/>
      <c r="BN534" s="126"/>
      <c r="BO534" s="126"/>
      <c r="BP534" s="126"/>
      <c r="BQ534" s="126"/>
      <c r="BR534" s="126"/>
      <c r="BS534" s="126"/>
      <c r="BT534" s="126"/>
      <c r="BU534" s="126"/>
      <c r="BV534" s="126"/>
      <c r="BW534" s="126"/>
      <c r="BX534" s="126"/>
      <c r="BY534" s="126"/>
      <c r="BZ534" s="126"/>
      <c r="CA534" s="126"/>
      <c r="CB534" s="126"/>
      <c r="CC534" s="126"/>
      <c r="CD534" s="126"/>
      <c r="CE534" s="126"/>
      <c r="CF534" s="126"/>
      <c r="CG534" s="126"/>
      <c r="CH534" s="126"/>
      <c r="CI534" s="126"/>
      <c r="CJ534" s="126"/>
      <c r="CK534" s="126"/>
    </row>
    <row r="535" spans="1:89" ht="9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  <c r="BD535" s="126"/>
      <c r="BE535" s="126"/>
      <c r="BF535" s="126"/>
      <c r="BG535" s="126"/>
      <c r="BH535" s="126"/>
      <c r="BI535" s="126"/>
      <c r="BJ535" s="126"/>
      <c r="BK535" s="126"/>
      <c r="BL535" s="126"/>
      <c r="BM535" s="126"/>
      <c r="BN535" s="126"/>
      <c r="BO535" s="126"/>
      <c r="BP535" s="126"/>
      <c r="BQ535" s="126"/>
      <c r="BR535" s="126"/>
      <c r="BS535" s="126"/>
      <c r="BT535" s="126"/>
      <c r="BU535" s="126"/>
      <c r="BV535" s="126"/>
      <c r="BW535" s="126"/>
      <c r="BX535" s="126"/>
      <c r="BY535" s="126"/>
      <c r="BZ535" s="126"/>
      <c r="CA535" s="126"/>
      <c r="CB535" s="126"/>
      <c r="CC535" s="126"/>
      <c r="CD535" s="126"/>
      <c r="CE535" s="126"/>
      <c r="CF535" s="126"/>
      <c r="CG535" s="126"/>
      <c r="CH535" s="126"/>
      <c r="CI535" s="126"/>
      <c r="CJ535" s="126"/>
      <c r="CK535" s="126"/>
    </row>
    <row r="536" spans="1:89" ht="9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  <c r="BD536" s="126"/>
      <c r="BE536" s="126"/>
      <c r="BF536" s="126"/>
      <c r="BG536" s="126"/>
      <c r="BH536" s="126"/>
      <c r="BI536" s="126"/>
      <c r="BJ536" s="126"/>
      <c r="BK536" s="126"/>
      <c r="BL536" s="126"/>
      <c r="BM536" s="126"/>
      <c r="BN536" s="126"/>
      <c r="BO536" s="126"/>
      <c r="BP536" s="126"/>
      <c r="BQ536" s="126"/>
      <c r="BR536" s="126"/>
      <c r="BS536" s="126"/>
      <c r="BT536" s="126"/>
      <c r="BU536" s="126"/>
      <c r="BV536" s="126"/>
      <c r="BW536" s="126"/>
      <c r="BX536" s="126"/>
      <c r="BY536" s="126"/>
      <c r="BZ536" s="126"/>
      <c r="CA536" s="126"/>
      <c r="CB536" s="126"/>
      <c r="CC536" s="126"/>
      <c r="CD536" s="126"/>
      <c r="CE536" s="126"/>
      <c r="CF536" s="126"/>
      <c r="CG536" s="126"/>
      <c r="CH536" s="126"/>
      <c r="CI536" s="126"/>
      <c r="CJ536" s="126"/>
      <c r="CK536" s="126"/>
    </row>
    <row r="537" spans="1:89" ht="9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  <c r="BD537" s="126"/>
      <c r="BE537" s="126"/>
      <c r="BF537" s="126"/>
      <c r="BG537" s="126"/>
      <c r="BH537" s="126"/>
      <c r="BI537" s="126"/>
      <c r="BJ537" s="126"/>
      <c r="BK537" s="126"/>
      <c r="BL537" s="126"/>
      <c r="BM537" s="126"/>
      <c r="BN537" s="126"/>
      <c r="BO537" s="126"/>
      <c r="BP537" s="126"/>
      <c r="BQ537" s="126"/>
      <c r="BR537" s="126"/>
      <c r="BS537" s="126"/>
      <c r="BT537" s="126"/>
      <c r="BU537" s="126"/>
      <c r="BV537" s="126"/>
      <c r="BW537" s="126"/>
      <c r="BX537" s="126"/>
      <c r="BY537" s="126"/>
      <c r="BZ537" s="126"/>
      <c r="CA537" s="126"/>
      <c r="CB537" s="126"/>
      <c r="CC537" s="126"/>
      <c r="CD537" s="126"/>
      <c r="CE537" s="126"/>
      <c r="CF537" s="126"/>
      <c r="CG537" s="126"/>
      <c r="CH537" s="126"/>
      <c r="CI537" s="126"/>
      <c r="CJ537" s="126"/>
      <c r="CK537" s="126"/>
    </row>
    <row r="538" spans="1:89" ht="9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  <c r="BD538" s="126"/>
      <c r="BE538" s="126"/>
      <c r="BF538" s="126"/>
      <c r="BG538" s="126"/>
      <c r="BH538" s="126"/>
      <c r="BI538" s="126"/>
      <c r="BJ538" s="126"/>
      <c r="BK538" s="126"/>
      <c r="BL538" s="126"/>
      <c r="BM538" s="126"/>
      <c r="BN538" s="126"/>
      <c r="BO538" s="126"/>
      <c r="BP538" s="126"/>
      <c r="BQ538" s="126"/>
      <c r="BR538" s="126"/>
      <c r="BS538" s="126"/>
      <c r="BT538" s="126"/>
      <c r="BU538" s="126"/>
      <c r="BV538" s="126"/>
      <c r="BW538" s="126"/>
      <c r="BX538" s="126"/>
      <c r="BY538" s="126"/>
      <c r="BZ538" s="126"/>
      <c r="CA538" s="126"/>
      <c r="CB538" s="126"/>
      <c r="CC538" s="126"/>
      <c r="CD538" s="126"/>
      <c r="CE538" s="126"/>
      <c r="CF538" s="126"/>
      <c r="CG538" s="126"/>
      <c r="CH538" s="126"/>
      <c r="CI538" s="126"/>
      <c r="CJ538" s="126"/>
      <c r="CK538" s="126"/>
    </row>
    <row r="539" spans="1:89" ht="9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  <c r="BD539" s="126"/>
      <c r="BE539" s="126"/>
      <c r="BF539" s="126"/>
      <c r="BG539" s="126"/>
      <c r="BH539" s="126"/>
      <c r="BI539" s="126"/>
      <c r="BJ539" s="126"/>
      <c r="BK539" s="126"/>
      <c r="BL539" s="126"/>
      <c r="BM539" s="126"/>
      <c r="BN539" s="126"/>
      <c r="BO539" s="126"/>
      <c r="BP539" s="126"/>
      <c r="BQ539" s="126"/>
      <c r="BR539" s="126"/>
      <c r="BS539" s="126"/>
      <c r="BT539" s="126"/>
      <c r="BU539" s="126"/>
      <c r="BV539" s="126"/>
      <c r="BW539" s="126"/>
      <c r="BX539" s="126"/>
      <c r="BY539" s="126"/>
      <c r="BZ539" s="126"/>
      <c r="CA539" s="126"/>
      <c r="CB539" s="126"/>
      <c r="CC539" s="126"/>
      <c r="CD539" s="126"/>
      <c r="CE539" s="126"/>
      <c r="CF539" s="126"/>
      <c r="CG539" s="126"/>
      <c r="CH539" s="126"/>
      <c r="CI539" s="126"/>
      <c r="CJ539" s="126"/>
      <c r="CK539" s="126"/>
    </row>
    <row r="540" spans="1:89" ht="9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  <c r="BD540" s="126"/>
      <c r="BE540" s="126"/>
      <c r="BF540" s="126"/>
      <c r="BG540" s="126"/>
      <c r="BH540" s="126"/>
      <c r="BI540" s="126"/>
      <c r="BJ540" s="126"/>
      <c r="BK540" s="126"/>
      <c r="BL540" s="126"/>
      <c r="BM540" s="126"/>
      <c r="BN540" s="126"/>
      <c r="BO540" s="126"/>
      <c r="BP540" s="126"/>
      <c r="BQ540" s="126"/>
      <c r="BR540" s="126"/>
      <c r="BS540" s="126"/>
      <c r="BT540" s="126"/>
      <c r="BU540" s="126"/>
      <c r="BV540" s="126"/>
      <c r="BW540" s="126"/>
      <c r="BX540" s="126"/>
      <c r="BY540" s="126"/>
      <c r="BZ540" s="126"/>
      <c r="CA540" s="126"/>
      <c r="CB540" s="126"/>
      <c r="CC540" s="126"/>
      <c r="CD540" s="126"/>
      <c r="CE540" s="126"/>
      <c r="CF540" s="126"/>
      <c r="CG540" s="126"/>
      <c r="CH540" s="126"/>
      <c r="CI540" s="126"/>
      <c r="CJ540" s="126"/>
      <c r="CK540" s="126"/>
    </row>
    <row r="541" spans="1:89" ht="9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  <c r="BD541" s="126"/>
      <c r="BE541" s="126"/>
      <c r="BF541" s="126"/>
      <c r="BG541" s="126"/>
      <c r="BH541" s="126"/>
      <c r="BI541" s="126"/>
      <c r="BJ541" s="126"/>
      <c r="BK541" s="126"/>
      <c r="BL541" s="126"/>
      <c r="BM541" s="126"/>
      <c r="BN541" s="126"/>
      <c r="BO541" s="126"/>
      <c r="BP541" s="126"/>
      <c r="BQ541" s="126"/>
      <c r="BR541" s="126"/>
      <c r="BS541" s="126"/>
      <c r="BT541" s="126"/>
      <c r="BU541" s="126"/>
      <c r="BV541" s="126"/>
      <c r="BW541" s="126"/>
      <c r="BX541" s="126"/>
      <c r="BY541" s="126"/>
      <c r="BZ541" s="126"/>
      <c r="CA541" s="126"/>
      <c r="CB541" s="126"/>
      <c r="CC541" s="126"/>
      <c r="CD541" s="126"/>
      <c r="CE541" s="126"/>
      <c r="CF541" s="126"/>
      <c r="CG541" s="126"/>
      <c r="CH541" s="126"/>
      <c r="CI541" s="126"/>
      <c r="CJ541" s="126"/>
      <c r="CK541" s="126"/>
    </row>
    <row r="542" spans="1:89" ht="9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  <c r="BD542" s="126"/>
      <c r="BE542" s="126"/>
      <c r="BF542" s="126"/>
      <c r="BG542" s="126"/>
      <c r="BH542" s="126"/>
      <c r="BI542" s="126"/>
      <c r="BJ542" s="126"/>
      <c r="BK542" s="126"/>
      <c r="BL542" s="126"/>
      <c r="BM542" s="126"/>
      <c r="BN542" s="126"/>
      <c r="BO542" s="126"/>
      <c r="BP542" s="126"/>
      <c r="BQ542" s="126"/>
      <c r="BR542" s="126"/>
      <c r="BS542" s="126"/>
      <c r="BT542" s="126"/>
      <c r="BU542" s="126"/>
      <c r="BV542" s="126"/>
      <c r="BW542" s="126"/>
      <c r="BX542" s="126"/>
      <c r="BY542" s="126"/>
      <c r="BZ542" s="126"/>
      <c r="CA542" s="126"/>
      <c r="CB542" s="126"/>
      <c r="CC542" s="126"/>
      <c r="CD542" s="126"/>
      <c r="CE542" s="126"/>
      <c r="CF542" s="126"/>
      <c r="CG542" s="126"/>
      <c r="CH542" s="126"/>
      <c r="CI542" s="126"/>
      <c r="CJ542" s="126"/>
      <c r="CK542" s="126"/>
    </row>
    <row r="543" spans="1:89" ht="9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  <c r="BD543" s="126"/>
      <c r="BE543" s="126"/>
      <c r="BF543" s="126"/>
      <c r="BG543" s="126"/>
      <c r="BH543" s="126"/>
      <c r="BI543" s="126"/>
      <c r="BJ543" s="126"/>
      <c r="BK543" s="126"/>
      <c r="BL543" s="126"/>
      <c r="BM543" s="126"/>
      <c r="BN543" s="126"/>
      <c r="BO543" s="126"/>
      <c r="BP543" s="126"/>
      <c r="BQ543" s="126"/>
      <c r="BR543" s="126"/>
      <c r="BS543" s="126"/>
      <c r="BT543" s="126"/>
      <c r="BU543" s="126"/>
      <c r="BV543" s="126"/>
      <c r="BW543" s="126"/>
      <c r="BX543" s="126"/>
      <c r="BY543" s="126"/>
      <c r="BZ543" s="126"/>
      <c r="CA543" s="126"/>
      <c r="CB543" s="126"/>
      <c r="CC543" s="126"/>
      <c r="CD543" s="126"/>
      <c r="CE543" s="126"/>
      <c r="CF543" s="126"/>
      <c r="CG543" s="126"/>
      <c r="CH543" s="126"/>
      <c r="CI543" s="126"/>
      <c r="CJ543" s="126"/>
      <c r="CK543" s="126"/>
    </row>
    <row r="544" spans="1:89" ht="9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  <c r="BD544" s="126"/>
      <c r="BE544" s="126"/>
      <c r="BF544" s="126"/>
      <c r="BG544" s="126"/>
      <c r="BH544" s="126"/>
      <c r="BI544" s="126"/>
      <c r="BJ544" s="126"/>
      <c r="BK544" s="126"/>
      <c r="BL544" s="126"/>
      <c r="BM544" s="126"/>
      <c r="BN544" s="126"/>
      <c r="BO544" s="126"/>
      <c r="BP544" s="126"/>
      <c r="BQ544" s="126"/>
      <c r="BR544" s="126"/>
      <c r="BS544" s="126"/>
      <c r="BT544" s="126"/>
      <c r="BU544" s="126"/>
      <c r="BV544" s="126"/>
      <c r="BW544" s="126"/>
      <c r="BX544" s="126"/>
      <c r="BY544" s="126"/>
      <c r="BZ544" s="126"/>
      <c r="CA544" s="126"/>
      <c r="CB544" s="126"/>
      <c r="CC544" s="126"/>
      <c r="CD544" s="126"/>
      <c r="CE544" s="126"/>
      <c r="CF544" s="126"/>
      <c r="CG544" s="126"/>
      <c r="CH544" s="126"/>
      <c r="CI544" s="126"/>
      <c r="CJ544" s="126"/>
      <c r="CK544" s="126"/>
    </row>
    <row r="545" spans="1:89" ht="9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  <c r="BD545" s="126"/>
      <c r="BE545" s="126"/>
      <c r="BF545" s="126"/>
      <c r="BG545" s="126"/>
      <c r="BH545" s="126"/>
      <c r="BI545" s="126"/>
      <c r="BJ545" s="126"/>
      <c r="BK545" s="126"/>
      <c r="BL545" s="126"/>
      <c r="BM545" s="126"/>
      <c r="BN545" s="126"/>
      <c r="BO545" s="126"/>
      <c r="BP545" s="126"/>
      <c r="BQ545" s="126"/>
      <c r="BR545" s="126"/>
      <c r="BS545" s="126"/>
      <c r="BT545" s="126"/>
      <c r="BU545" s="126"/>
      <c r="BV545" s="126"/>
      <c r="BW545" s="126"/>
      <c r="BX545" s="126"/>
      <c r="BY545" s="126"/>
      <c r="BZ545" s="126"/>
      <c r="CA545" s="126"/>
      <c r="CB545" s="126"/>
      <c r="CC545" s="126"/>
      <c r="CD545" s="126"/>
      <c r="CE545" s="126"/>
      <c r="CF545" s="126"/>
      <c r="CG545" s="126"/>
      <c r="CH545" s="126"/>
      <c r="CI545" s="126"/>
      <c r="CJ545" s="126"/>
      <c r="CK545" s="126"/>
    </row>
    <row r="546" spans="1:89" ht="9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  <c r="BD546" s="126"/>
      <c r="BE546" s="126"/>
      <c r="BF546" s="126"/>
      <c r="BG546" s="126"/>
      <c r="BH546" s="126"/>
      <c r="BI546" s="126"/>
      <c r="BJ546" s="126"/>
      <c r="BK546" s="126"/>
      <c r="BL546" s="126"/>
      <c r="BM546" s="126"/>
      <c r="BN546" s="126"/>
      <c r="BO546" s="126"/>
      <c r="BP546" s="126"/>
      <c r="BQ546" s="126"/>
      <c r="BR546" s="126"/>
      <c r="BS546" s="126"/>
      <c r="BT546" s="126"/>
      <c r="BU546" s="126"/>
      <c r="BV546" s="126"/>
      <c r="BW546" s="126"/>
      <c r="BX546" s="126"/>
      <c r="BY546" s="126"/>
      <c r="BZ546" s="126"/>
      <c r="CA546" s="126"/>
      <c r="CB546" s="126"/>
      <c r="CC546" s="126"/>
      <c r="CD546" s="126"/>
      <c r="CE546" s="126"/>
      <c r="CF546" s="126"/>
      <c r="CG546" s="126"/>
      <c r="CH546" s="126"/>
      <c r="CI546" s="126"/>
      <c r="CJ546" s="126"/>
      <c r="CK546" s="126"/>
    </row>
    <row r="547" spans="1:89" ht="9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  <c r="BD547" s="126"/>
      <c r="BE547" s="126"/>
      <c r="BF547" s="126"/>
      <c r="BG547" s="126"/>
      <c r="BH547" s="126"/>
      <c r="BI547" s="126"/>
      <c r="BJ547" s="126"/>
      <c r="BK547" s="126"/>
      <c r="BL547" s="126"/>
      <c r="BM547" s="126"/>
      <c r="BN547" s="126"/>
      <c r="BO547" s="126"/>
      <c r="BP547" s="126"/>
      <c r="BQ547" s="126"/>
      <c r="BR547" s="126"/>
      <c r="BS547" s="126"/>
      <c r="BT547" s="126"/>
      <c r="BU547" s="126"/>
      <c r="BV547" s="126"/>
      <c r="BW547" s="126"/>
      <c r="BX547" s="126"/>
      <c r="BY547" s="126"/>
      <c r="BZ547" s="126"/>
      <c r="CA547" s="126"/>
      <c r="CB547" s="126"/>
      <c r="CC547" s="126"/>
      <c r="CD547" s="126"/>
      <c r="CE547" s="126"/>
      <c r="CF547" s="126"/>
      <c r="CG547" s="126"/>
      <c r="CH547" s="126"/>
      <c r="CI547" s="126"/>
      <c r="CJ547" s="126"/>
      <c r="CK547" s="126"/>
    </row>
    <row r="548" spans="1:89" ht="9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  <c r="BD548" s="126"/>
      <c r="BE548" s="126"/>
      <c r="BF548" s="126"/>
      <c r="BG548" s="126"/>
      <c r="BH548" s="126"/>
      <c r="BI548" s="126"/>
      <c r="BJ548" s="126"/>
      <c r="BK548" s="126"/>
      <c r="BL548" s="126"/>
      <c r="BM548" s="126"/>
      <c r="BN548" s="126"/>
      <c r="BO548" s="126"/>
      <c r="BP548" s="126"/>
      <c r="BQ548" s="126"/>
      <c r="BR548" s="126"/>
      <c r="BS548" s="126"/>
      <c r="BT548" s="126"/>
      <c r="BU548" s="126"/>
      <c r="BV548" s="126"/>
      <c r="BW548" s="126"/>
      <c r="BX548" s="126"/>
      <c r="BY548" s="126"/>
      <c r="BZ548" s="126"/>
      <c r="CA548" s="126"/>
      <c r="CB548" s="126"/>
      <c r="CC548" s="126"/>
      <c r="CD548" s="126"/>
      <c r="CE548" s="126"/>
      <c r="CF548" s="126"/>
      <c r="CG548" s="126"/>
      <c r="CH548" s="126"/>
      <c r="CI548" s="126"/>
      <c r="CJ548" s="126"/>
      <c r="CK548" s="126"/>
    </row>
    <row r="549" spans="1:89" ht="9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  <c r="BD549" s="126"/>
      <c r="BE549" s="126"/>
      <c r="BF549" s="126"/>
      <c r="BG549" s="126"/>
      <c r="BH549" s="126"/>
      <c r="BI549" s="126"/>
      <c r="BJ549" s="126"/>
      <c r="BK549" s="126"/>
      <c r="BL549" s="126"/>
      <c r="BM549" s="126"/>
      <c r="BN549" s="126"/>
      <c r="BO549" s="126"/>
      <c r="BP549" s="126"/>
      <c r="BQ549" s="126"/>
      <c r="BR549" s="126"/>
      <c r="BS549" s="126"/>
      <c r="BT549" s="126"/>
      <c r="BU549" s="126"/>
      <c r="BV549" s="126"/>
      <c r="BW549" s="126"/>
      <c r="BX549" s="126"/>
      <c r="BY549" s="126"/>
      <c r="BZ549" s="126"/>
      <c r="CA549" s="126"/>
      <c r="CB549" s="126"/>
      <c r="CC549" s="126"/>
      <c r="CD549" s="126"/>
      <c r="CE549" s="126"/>
      <c r="CF549" s="126"/>
      <c r="CG549" s="126"/>
      <c r="CH549" s="126"/>
      <c r="CI549" s="126"/>
      <c r="CJ549" s="126"/>
      <c r="CK549" s="126"/>
    </row>
    <row r="550" spans="1:89" ht="9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  <c r="BD550" s="126"/>
      <c r="BE550" s="126"/>
      <c r="BF550" s="126"/>
      <c r="BG550" s="126"/>
      <c r="BH550" s="126"/>
      <c r="BI550" s="126"/>
      <c r="BJ550" s="126"/>
      <c r="BK550" s="126"/>
      <c r="BL550" s="126"/>
      <c r="BM550" s="126"/>
      <c r="BN550" s="126"/>
      <c r="BO550" s="126"/>
      <c r="BP550" s="126"/>
      <c r="BQ550" s="126"/>
      <c r="BR550" s="126"/>
      <c r="BS550" s="126"/>
      <c r="BT550" s="126"/>
      <c r="BU550" s="126"/>
      <c r="BV550" s="126"/>
      <c r="BW550" s="126"/>
      <c r="BX550" s="126"/>
      <c r="BY550" s="126"/>
      <c r="BZ550" s="126"/>
      <c r="CA550" s="126"/>
      <c r="CB550" s="126"/>
      <c r="CC550" s="126"/>
      <c r="CD550" s="126"/>
      <c r="CE550" s="126"/>
      <c r="CF550" s="126"/>
      <c r="CG550" s="126"/>
      <c r="CH550" s="126"/>
      <c r="CI550" s="126"/>
      <c r="CJ550" s="126"/>
      <c r="CK550" s="126"/>
    </row>
    <row r="551" spans="1:89" ht="9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  <c r="BD551" s="126"/>
      <c r="BE551" s="126"/>
      <c r="BF551" s="126"/>
      <c r="BG551" s="126"/>
      <c r="BH551" s="126"/>
      <c r="BI551" s="126"/>
      <c r="BJ551" s="126"/>
      <c r="BK551" s="126"/>
      <c r="BL551" s="126"/>
      <c r="BM551" s="126"/>
      <c r="BN551" s="126"/>
      <c r="BO551" s="126"/>
      <c r="BP551" s="126"/>
      <c r="BQ551" s="126"/>
      <c r="BR551" s="126"/>
      <c r="BS551" s="126"/>
      <c r="BT551" s="126"/>
      <c r="BU551" s="126"/>
      <c r="BV551" s="126"/>
      <c r="BW551" s="126"/>
      <c r="BX551" s="126"/>
      <c r="BY551" s="126"/>
      <c r="BZ551" s="126"/>
      <c r="CA551" s="126"/>
      <c r="CB551" s="126"/>
      <c r="CC551" s="126"/>
      <c r="CD551" s="126"/>
      <c r="CE551" s="126"/>
      <c r="CF551" s="126"/>
      <c r="CG551" s="126"/>
      <c r="CH551" s="126"/>
      <c r="CI551" s="126"/>
      <c r="CJ551" s="126"/>
      <c r="CK551" s="126"/>
    </row>
    <row r="552" spans="1:89" ht="9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  <c r="BD552" s="126"/>
      <c r="BE552" s="126"/>
      <c r="BF552" s="126"/>
      <c r="BG552" s="126"/>
      <c r="BH552" s="126"/>
      <c r="BI552" s="126"/>
      <c r="BJ552" s="126"/>
      <c r="BK552" s="126"/>
      <c r="BL552" s="126"/>
      <c r="BM552" s="126"/>
      <c r="BN552" s="126"/>
      <c r="BO552" s="126"/>
      <c r="BP552" s="126"/>
      <c r="BQ552" s="126"/>
      <c r="BR552" s="126"/>
      <c r="BS552" s="126"/>
      <c r="BT552" s="126"/>
      <c r="BU552" s="126"/>
      <c r="BV552" s="126"/>
      <c r="BW552" s="126"/>
      <c r="BX552" s="126"/>
      <c r="BY552" s="126"/>
      <c r="BZ552" s="126"/>
      <c r="CA552" s="126"/>
      <c r="CB552" s="126"/>
      <c r="CC552" s="126"/>
      <c r="CD552" s="126"/>
      <c r="CE552" s="126"/>
      <c r="CF552" s="126"/>
      <c r="CG552" s="126"/>
      <c r="CH552" s="126"/>
      <c r="CI552" s="126"/>
      <c r="CJ552" s="126"/>
      <c r="CK552" s="126"/>
    </row>
    <row r="553" spans="1:89" ht="9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  <c r="BD553" s="126"/>
      <c r="BE553" s="126"/>
      <c r="BF553" s="126"/>
      <c r="BG553" s="126"/>
      <c r="BH553" s="126"/>
      <c r="BI553" s="126"/>
      <c r="BJ553" s="126"/>
      <c r="BK553" s="126"/>
      <c r="BL553" s="126"/>
      <c r="BM553" s="126"/>
      <c r="BN553" s="126"/>
      <c r="BO553" s="126"/>
      <c r="BP553" s="126"/>
      <c r="BQ553" s="126"/>
      <c r="BR553" s="126"/>
      <c r="BS553" s="126"/>
      <c r="BT553" s="126"/>
      <c r="BU553" s="126"/>
      <c r="BV553" s="126"/>
      <c r="BW553" s="126"/>
      <c r="BX553" s="126"/>
      <c r="BY553" s="126"/>
      <c r="BZ553" s="126"/>
      <c r="CA553" s="126"/>
      <c r="CB553" s="126"/>
      <c r="CC553" s="126"/>
      <c r="CD553" s="126"/>
      <c r="CE553" s="126"/>
      <c r="CF553" s="126"/>
      <c r="CG553" s="126"/>
      <c r="CH553" s="126"/>
      <c r="CI553" s="126"/>
      <c r="CJ553" s="126"/>
      <c r="CK553" s="126"/>
    </row>
    <row r="554" spans="1:89" ht="9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  <c r="BD554" s="126"/>
      <c r="BE554" s="126"/>
      <c r="BF554" s="126"/>
      <c r="BG554" s="126"/>
      <c r="BH554" s="126"/>
      <c r="BI554" s="126"/>
      <c r="BJ554" s="126"/>
      <c r="BK554" s="126"/>
      <c r="BL554" s="126"/>
      <c r="BM554" s="126"/>
      <c r="BN554" s="126"/>
      <c r="BO554" s="126"/>
      <c r="BP554" s="126"/>
      <c r="BQ554" s="126"/>
      <c r="BR554" s="126"/>
      <c r="BS554" s="126"/>
      <c r="BT554" s="126"/>
      <c r="BU554" s="126"/>
      <c r="BV554" s="126"/>
      <c r="BW554" s="126"/>
      <c r="BX554" s="126"/>
      <c r="BY554" s="126"/>
      <c r="BZ554" s="126"/>
      <c r="CA554" s="126"/>
      <c r="CB554" s="126"/>
      <c r="CC554" s="126"/>
      <c r="CD554" s="126"/>
      <c r="CE554" s="126"/>
      <c r="CF554" s="126"/>
      <c r="CG554" s="126"/>
      <c r="CH554" s="126"/>
      <c r="CI554" s="126"/>
      <c r="CJ554" s="126"/>
      <c r="CK554" s="126"/>
    </row>
    <row r="555" spans="1:89" ht="9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  <c r="BD555" s="126"/>
      <c r="BE555" s="126"/>
      <c r="BF555" s="126"/>
      <c r="BG555" s="126"/>
      <c r="BH555" s="126"/>
      <c r="BI555" s="126"/>
      <c r="BJ555" s="126"/>
      <c r="BK555" s="126"/>
      <c r="BL555" s="126"/>
      <c r="BM555" s="126"/>
      <c r="BN555" s="126"/>
      <c r="BO555" s="126"/>
      <c r="BP555" s="126"/>
      <c r="BQ555" s="126"/>
      <c r="BR555" s="126"/>
      <c r="BS555" s="126"/>
      <c r="BT555" s="126"/>
      <c r="BU555" s="126"/>
      <c r="BV555" s="126"/>
      <c r="BW555" s="126"/>
      <c r="BX555" s="126"/>
      <c r="BY555" s="126"/>
      <c r="BZ555" s="126"/>
      <c r="CA555" s="126"/>
      <c r="CB555" s="126"/>
      <c r="CC555" s="126"/>
      <c r="CD555" s="126"/>
      <c r="CE555" s="126"/>
      <c r="CF555" s="126"/>
      <c r="CG555" s="126"/>
      <c r="CH555" s="126"/>
      <c r="CI555" s="126"/>
      <c r="CJ555" s="126"/>
      <c r="CK555" s="126"/>
    </row>
    <row r="556" spans="1:89" ht="9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  <c r="BD556" s="126"/>
      <c r="BE556" s="126"/>
      <c r="BF556" s="126"/>
      <c r="BG556" s="126"/>
      <c r="BH556" s="126"/>
      <c r="BI556" s="126"/>
      <c r="BJ556" s="126"/>
      <c r="BK556" s="126"/>
      <c r="BL556" s="126"/>
      <c r="BM556" s="126"/>
      <c r="BN556" s="126"/>
      <c r="BO556" s="126"/>
      <c r="BP556" s="126"/>
      <c r="BQ556" s="126"/>
      <c r="BR556" s="126"/>
      <c r="BS556" s="126"/>
      <c r="BT556" s="126"/>
      <c r="BU556" s="126"/>
      <c r="BV556" s="126"/>
      <c r="BW556" s="126"/>
      <c r="BX556" s="126"/>
      <c r="BY556" s="126"/>
      <c r="BZ556" s="126"/>
      <c r="CA556" s="126"/>
      <c r="CB556" s="126"/>
      <c r="CC556" s="126"/>
      <c r="CD556" s="126"/>
      <c r="CE556" s="126"/>
      <c r="CF556" s="126"/>
      <c r="CG556" s="126"/>
      <c r="CH556" s="126"/>
      <c r="CI556" s="126"/>
      <c r="CJ556" s="126"/>
      <c r="CK556" s="126"/>
    </row>
    <row r="557" spans="1:89" ht="9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  <c r="BD557" s="126"/>
      <c r="BE557" s="126"/>
      <c r="BF557" s="126"/>
      <c r="BG557" s="126"/>
      <c r="BH557" s="126"/>
      <c r="BI557" s="126"/>
      <c r="BJ557" s="126"/>
      <c r="BK557" s="126"/>
      <c r="BL557" s="126"/>
      <c r="BM557" s="126"/>
      <c r="BN557" s="126"/>
      <c r="BO557" s="126"/>
      <c r="BP557" s="126"/>
      <c r="BQ557" s="126"/>
      <c r="BR557" s="126"/>
      <c r="BS557" s="126"/>
      <c r="BT557" s="126"/>
      <c r="BU557" s="126"/>
      <c r="BV557" s="126"/>
      <c r="BW557" s="126"/>
      <c r="BX557" s="126"/>
      <c r="BY557" s="126"/>
      <c r="BZ557" s="126"/>
      <c r="CA557" s="126"/>
      <c r="CB557" s="126"/>
      <c r="CC557" s="126"/>
      <c r="CD557" s="126"/>
      <c r="CE557" s="126"/>
      <c r="CF557" s="126"/>
      <c r="CG557" s="126"/>
      <c r="CH557" s="126"/>
      <c r="CI557" s="126"/>
      <c r="CJ557" s="126"/>
      <c r="CK557" s="126"/>
    </row>
    <row r="558" spans="1:89" ht="9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  <c r="BD558" s="126"/>
      <c r="BE558" s="126"/>
      <c r="BF558" s="126"/>
      <c r="BG558" s="126"/>
      <c r="BH558" s="126"/>
      <c r="BI558" s="126"/>
      <c r="BJ558" s="126"/>
      <c r="BK558" s="126"/>
      <c r="BL558" s="126"/>
      <c r="BM558" s="126"/>
      <c r="BN558" s="126"/>
      <c r="BO558" s="126"/>
      <c r="BP558" s="126"/>
      <c r="BQ558" s="126"/>
      <c r="BR558" s="126"/>
      <c r="BS558" s="126"/>
      <c r="BT558" s="126"/>
      <c r="BU558" s="126"/>
      <c r="BV558" s="126"/>
      <c r="BW558" s="126"/>
      <c r="BX558" s="126"/>
      <c r="BY558" s="126"/>
      <c r="BZ558" s="126"/>
      <c r="CA558" s="126"/>
      <c r="CB558" s="126"/>
      <c r="CC558" s="126"/>
      <c r="CD558" s="126"/>
      <c r="CE558" s="126"/>
      <c r="CF558" s="126"/>
      <c r="CG558" s="126"/>
      <c r="CH558" s="126"/>
      <c r="CI558" s="126"/>
      <c r="CJ558" s="126"/>
      <c r="CK558" s="126"/>
    </row>
    <row r="559" spans="1:89" ht="9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  <c r="BD559" s="126"/>
      <c r="BE559" s="126"/>
      <c r="BF559" s="126"/>
      <c r="BG559" s="126"/>
      <c r="BH559" s="126"/>
      <c r="BI559" s="126"/>
      <c r="BJ559" s="126"/>
      <c r="BK559" s="126"/>
      <c r="BL559" s="126"/>
      <c r="BM559" s="126"/>
      <c r="BN559" s="126"/>
      <c r="BO559" s="126"/>
      <c r="BP559" s="126"/>
      <c r="BQ559" s="126"/>
      <c r="BR559" s="126"/>
      <c r="BS559" s="126"/>
      <c r="BT559" s="126"/>
      <c r="BU559" s="126"/>
      <c r="BV559" s="126"/>
      <c r="BW559" s="126"/>
      <c r="BX559" s="126"/>
      <c r="BY559" s="126"/>
      <c r="BZ559" s="126"/>
      <c r="CA559" s="126"/>
      <c r="CB559" s="126"/>
      <c r="CC559" s="126"/>
      <c r="CD559" s="126"/>
      <c r="CE559" s="126"/>
      <c r="CF559" s="126"/>
      <c r="CG559" s="126"/>
      <c r="CH559" s="126"/>
      <c r="CI559" s="126"/>
      <c r="CJ559" s="126"/>
      <c r="CK559" s="126"/>
    </row>
    <row r="560" spans="1:89" ht="9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  <c r="BD560" s="126"/>
      <c r="BE560" s="126"/>
      <c r="BF560" s="126"/>
      <c r="BG560" s="126"/>
      <c r="BH560" s="126"/>
      <c r="BI560" s="126"/>
      <c r="BJ560" s="126"/>
      <c r="BK560" s="126"/>
      <c r="BL560" s="126"/>
      <c r="BM560" s="126"/>
      <c r="BN560" s="126"/>
      <c r="BO560" s="126"/>
      <c r="BP560" s="126"/>
      <c r="BQ560" s="126"/>
      <c r="BR560" s="126"/>
      <c r="BS560" s="126"/>
      <c r="BT560" s="126"/>
      <c r="BU560" s="126"/>
      <c r="BV560" s="126"/>
      <c r="BW560" s="126"/>
      <c r="BX560" s="126"/>
      <c r="BY560" s="126"/>
      <c r="BZ560" s="126"/>
      <c r="CA560" s="126"/>
      <c r="CB560" s="126"/>
      <c r="CC560" s="126"/>
      <c r="CD560" s="126"/>
      <c r="CE560" s="126"/>
      <c r="CF560" s="126"/>
      <c r="CG560" s="126"/>
      <c r="CH560" s="126"/>
      <c r="CI560" s="126"/>
      <c r="CJ560" s="126"/>
      <c r="CK560" s="126"/>
    </row>
    <row r="561" spans="1:89" ht="9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  <c r="BD561" s="126"/>
      <c r="BE561" s="126"/>
      <c r="BF561" s="126"/>
      <c r="BG561" s="126"/>
      <c r="BH561" s="126"/>
      <c r="BI561" s="126"/>
      <c r="BJ561" s="126"/>
      <c r="BK561" s="126"/>
      <c r="BL561" s="126"/>
      <c r="BM561" s="126"/>
      <c r="BN561" s="126"/>
      <c r="BO561" s="126"/>
      <c r="BP561" s="126"/>
      <c r="BQ561" s="126"/>
      <c r="BR561" s="126"/>
      <c r="BS561" s="126"/>
      <c r="BT561" s="126"/>
      <c r="BU561" s="126"/>
      <c r="BV561" s="126"/>
      <c r="BW561" s="126"/>
      <c r="BX561" s="126"/>
      <c r="BY561" s="126"/>
      <c r="BZ561" s="126"/>
      <c r="CA561" s="126"/>
      <c r="CB561" s="126"/>
      <c r="CC561" s="126"/>
      <c r="CD561" s="126"/>
      <c r="CE561" s="126"/>
      <c r="CF561" s="126"/>
      <c r="CG561" s="126"/>
      <c r="CH561" s="126"/>
      <c r="CI561" s="126"/>
      <c r="CJ561" s="126"/>
      <c r="CK561" s="126"/>
    </row>
    <row r="562" spans="1:89" ht="9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  <c r="BD562" s="126"/>
      <c r="BE562" s="126"/>
      <c r="BF562" s="126"/>
      <c r="BG562" s="126"/>
      <c r="BH562" s="126"/>
      <c r="BI562" s="126"/>
      <c r="BJ562" s="126"/>
      <c r="BK562" s="126"/>
      <c r="BL562" s="126"/>
      <c r="BM562" s="126"/>
      <c r="BN562" s="126"/>
      <c r="BO562" s="126"/>
      <c r="BP562" s="126"/>
      <c r="BQ562" s="126"/>
      <c r="BR562" s="126"/>
      <c r="BS562" s="126"/>
      <c r="BT562" s="126"/>
      <c r="BU562" s="126"/>
      <c r="BV562" s="126"/>
      <c r="BW562" s="126"/>
      <c r="BX562" s="126"/>
      <c r="BY562" s="126"/>
      <c r="BZ562" s="126"/>
      <c r="CA562" s="126"/>
      <c r="CB562" s="126"/>
      <c r="CC562" s="126"/>
      <c r="CD562" s="126"/>
      <c r="CE562" s="126"/>
      <c r="CF562" s="126"/>
      <c r="CG562" s="126"/>
      <c r="CH562" s="126"/>
      <c r="CI562" s="126"/>
      <c r="CJ562" s="126"/>
      <c r="CK562" s="126"/>
    </row>
    <row r="563" spans="1:89" ht="9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  <c r="BD563" s="126"/>
      <c r="BE563" s="126"/>
      <c r="BF563" s="126"/>
      <c r="BG563" s="126"/>
      <c r="BH563" s="126"/>
      <c r="BI563" s="126"/>
      <c r="BJ563" s="126"/>
      <c r="BK563" s="126"/>
      <c r="BL563" s="126"/>
      <c r="BM563" s="126"/>
      <c r="BN563" s="126"/>
      <c r="BO563" s="126"/>
      <c r="BP563" s="126"/>
      <c r="BQ563" s="126"/>
      <c r="BR563" s="126"/>
      <c r="BS563" s="126"/>
      <c r="BT563" s="126"/>
      <c r="BU563" s="126"/>
      <c r="BV563" s="126"/>
      <c r="BW563" s="126"/>
      <c r="BX563" s="126"/>
      <c r="BY563" s="126"/>
      <c r="BZ563" s="126"/>
      <c r="CA563" s="126"/>
      <c r="CB563" s="126"/>
      <c r="CC563" s="126"/>
      <c r="CD563" s="126"/>
      <c r="CE563" s="126"/>
      <c r="CF563" s="126"/>
      <c r="CG563" s="126"/>
      <c r="CH563" s="126"/>
      <c r="CI563" s="126"/>
      <c r="CJ563" s="126"/>
      <c r="CK563" s="126"/>
    </row>
    <row r="564" spans="1:89" ht="9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  <c r="BD564" s="126"/>
      <c r="BE564" s="126"/>
      <c r="BF564" s="126"/>
      <c r="BG564" s="126"/>
      <c r="BH564" s="126"/>
      <c r="BI564" s="126"/>
      <c r="BJ564" s="126"/>
      <c r="BK564" s="126"/>
      <c r="BL564" s="126"/>
      <c r="BM564" s="126"/>
      <c r="BN564" s="126"/>
      <c r="BO564" s="126"/>
      <c r="BP564" s="126"/>
      <c r="BQ564" s="126"/>
      <c r="BR564" s="126"/>
      <c r="BS564" s="126"/>
      <c r="BT564" s="126"/>
      <c r="BU564" s="126"/>
      <c r="BV564" s="126"/>
      <c r="BW564" s="126"/>
      <c r="BX564" s="126"/>
      <c r="BY564" s="126"/>
      <c r="BZ564" s="126"/>
      <c r="CA564" s="126"/>
      <c r="CB564" s="126"/>
      <c r="CC564" s="126"/>
      <c r="CD564" s="126"/>
      <c r="CE564" s="126"/>
      <c r="CF564" s="126"/>
      <c r="CG564" s="126"/>
      <c r="CH564" s="126"/>
      <c r="CI564" s="126"/>
      <c r="CJ564" s="126"/>
      <c r="CK564" s="126"/>
    </row>
    <row r="565" spans="1:89" ht="9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  <c r="BD565" s="126"/>
      <c r="BE565" s="126"/>
      <c r="BF565" s="126"/>
      <c r="BG565" s="126"/>
      <c r="BH565" s="126"/>
      <c r="BI565" s="126"/>
      <c r="BJ565" s="126"/>
      <c r="BK565" s="126"/>
      <c r="BL565" s="126"/>
      <c r="BM565" s="126"/>
      <c r="BN565" s="126"/>
      <c r="BO565" s="126"/>
      <c r="BP565" s="126"/>
      <c r="BQ565" s="126"/>
      <c r="BR565" s="126"/>
      <c r="BS565" s="126"/>
      <c r="BT565" s="126"/>
      <c r="BU565" s="126"/>
      <c r="BV565" s="126"/>
      <c r="BW565" s="126"/>
      <c r="BX565" s="126"/>
      <c r="BY565" s="126"/>
      <c r="BZ565" s="126"/>
      <c r="CA565" s="126"/>
      <c r="CB565" s="126"/>
      <c r="CC565" s="126"/>
      <c r="CD565" s="126"/>
      <c r="CE565" s="126"/>
      <c r="CF565" s="126"/>
      <c r="CG565" s="126"/>
      <c r="CH565" s="126"/>
      <c r="CI565" s="126"/>
      <c r="CJ565" s="126"/>
      <c r="CK565" s="126"/>
    </row>
    <row r="566" spans="1:89" ht="9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  <c r="BD566" s="126"/>
      <c r="BE566" s="126"/>
      <c r="BF566" s="126"/>
      <c r="BG566" s="126"/>
      <c r="BH566" s="126"/>
      <c r="BI566" s="126"/>
      <c r="BJ566" s="126"/>
      <c r="BK566" s="126"/>
      <c r="BL566" s="126"/>
      <c r="BM566" s="126"/>
      <c r="BN566" s="126"/>
      <c r="BO566" s="126"/>
      <c r="BP566" s="126"/>
      <c r="BQ566" s="126"/>
      <c r="BR566" s="126"/>
      <c r="BS566" s="126"/>
      <c r="BT566" s="126"/>
      <c r="BU566" s="126"/>
      <c r="BV566" s="126"/>
      <c r="BW566" s="126"/>
      <c r="BX566" s="126"/>
      <c r="BY566" s="126"/>
      <c r="BZ566" s="126"/>
      <c r="CA566" s="126"/>
      <c r="CB566" s="126"/>
      <c r="CC566" s="126"/>
      <c r="CD566" s="126"/>
      <c r="CE566" s="126"/>
      <c r="CF566" s="126"/>
      <c r="CG566" s="126"/>
      <c r="CH566" s="126"/>
      <c r="CI566" s="126"/>
      <c r="CJ566" s="126"/>
      <c r="CK566" s="126"/>
    </row>
    <row r="567" spans="1:89" ht="9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  <c r="BD567" s="126"/>
      <c r="BE567" s="126"/>
      <c r="BF567" s="126"/>
      <c r="BG567" s="126"/>
      <c r="BH567" s="126"/>
      <c r="BI567" s="126"/>
      <c r="BJ567" s="126"/>
      <c r="BK567" s="126"/>
      <c r="BL567" s="126"/>
      <c r="BM567" s="126"/>
      <c r="BN567" s="126"/>
      <c r="BO567" s="126"/>
      <c r="BP567" s="126"/>
      <c r="BQ567" s="126"/>
      <c r="BR567" s="126"/>
      <c r="BS567" s="126"/>
      <c r="BT567" s="126"/>
      <c r="BU567" s="126"/>
      <c r="BV567" s="126"/>
      <c r="BW567" s="126"/>
      <c r="BX567" s="126"/>
      <c r="BY567" s="126"/>
      <c r="BZ567" s="126"/>
      <c r="CA567" s="126"/>
      <c r="CB567" s="126"/>
      <c r="CC567" s="126"/>
      <c r="CD567" s="126"/>
      <c r="CE567" s="126"/>
      <c r="CF567" s="126"/>
      <c r="CG567" s="126"/>
      <c r="CH567" s="126"/>
      <c r="CI567" s="126"/>
      <c r="CJ567" s="126"/>
      <c r="CK567" s="126"/>
    </row>
    <row r="568" spans="1:89" ht="9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  <c r="BD568" s="126"/>
      <c r="BE568" s="126"/>
      <c r="BF568" s="126"/>
      <c r="BG568" s="126"/>
      <c r="BH568" s="126"/>
      <c r="BI568" s="126"/>
      <c r="BJ568" s="126"/>
      <c r="BK568" s="126"/>
      <c r="BL568" s="126"/>
      <c r="BM568" s="126"/>
      <c r="BN568" s="126"/>
      <c r="BO568" s="126"/>
      <c r="BP568" s="126"/>
      <c r="BQ568" s="126"/>
      <c r="BR568" s="126"/>
      <c r="BS568" s="126"/>
      <c r="BT568" s="126"/>
      <c r="BU568" s="126"/>
      <c r="BV568" s="126"/>
      <c r="BW568" s="126"/>
      <c r="BX568" s="126"/>
      <c r="BY568" s="126"/>
      <c r="BZ568" s="126"/>
      <c r="CA568" s="126"/>
      <c r="CB568" s="126"/>
      <c r="CC568" s="126"/>
      <c r="CD568" s="126"/>
      <c r="CE568" s="126"/>
      <c r="CF568" s="126"/>
      <c r="CG568" s="126"/>
      <c r="CH568" s="126"/>
      <c r="CI568" s="126"/>
      <c r="CJ568" s="126"/>
      <c r="CK568" s="126"/>
    </row>
    <row r="569" spans="1:89" ht="9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  <c r="BD569" s="126"/>
      <c r="BE569" s="126"/>
      <c r="BF569" s="126"/>
      <c r="BG569" s="126"/>
      <c r="BH569" s="126"/>
      <c r="BI569" s="126"/>
      <c r="BJ569" s="126"/>
      <c r="BK569" s="126"/>
      <c r="BL569" s="126"/>
      <c r="BM569" s="126"/>
      <c r="BN569" s="126"/>
      <c r="BO569" s="126"/>
      <c r="BP569" s="126"/>
      <c r="BQ569" s="126"/>
      <c r="BR569" s="126"/>
      <c r="BS569" s="126"/>
      <c r="BT569" s="126"/>
      <c r="BU569" s="126"/>
      <c r="BV569" s="126"/>
      <c r="BW569" s="126"/>
      <c r="BX569" s="126"/>
      <c r="BY569" s="126"/>
      <c r="BZ569" s="126"/>
      <c r="CA569" s="126"/>
      <c r="CB569" s="126"/>
      <c r="CC569" s="126"/>
      <c r="CD569" s="126"/>
      <c r="CE569" s="126"/>
      <c r="CF569" s="126"/>
      <c r="CG569" s="126"/>
      <c r="CH569" s="126"/>
      <c r="CI569" s="126"/>
      <c r="CJ569" s="126"/>
      <c r="CK569" s="126"/>
    </row>
    <row r="570" spans="1:89" ht="9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  <c r="BD570" s="126"/>
      <c r="BE570" s="126"/>
      <c r="BF570" s="126"/>
      <c r="BG570" s="126"/>
      <c r="BH570" s="126"/>
      <c r="BI570" s="126"/>
      <c r="BJ570" s="126"/>
      <c r="BK570" s="126"/>
      <c r="BL570" s="126"/>
      <c r="BM570" s="126"/>
      <c r="BN570" s="126"/>
      <c r="BO570" s="126"/>
      <c r="BP570" s="126"/>
      <c r="BQ570" s="126"/>
      <c r="BR570" s="126"/>
      <c r="BS570" s="126"/>
      <c r="BT570" s="126"/>
      <c r="BU570" s="126"/>
      <c r="BV570" s="126"/>
      <c r="BW570" s="126"/>
      <c r="BX570" s="126"/>
      <c r="BY570" s="126"/>
      <c r="BZ570" s="126"/>
      <c r="CA570" s="126"/>
      <c r="CB570" s="126"/>
      <c r="CC570" s="126"/>
      <c r="CD570" s="126"/>
      <c r="CE570" s="126"/>
      <c r="CF570" s="126"/>
      <c r="CG570" s="126"/>
      <c r="CH570" s="126"/>
      <c r="CI570" s="126"/>
      <c r="CJ570" s="126"/>
      <c r="CK570" s="126"/>
    </row>
    <row r="571" spans="1:89" ht="9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  <c r="BD571" s="126"/>
      <c r="BE571" s="126"/>
      <c r="BF571" s="126"/>
      <c r="BG571" s="126"/>
      <c r="BH571" s="126"/>
      <c r="BI571" s="126"/>
      <c r="BJ571" s="126"/>
      <c r="BK571" s="126"/>
      <c r="BL571" s="126"/>
      <c r="BM571" s="126"/>
      <c r="BN571" s="126"/>
      <c r="BO571" s="126"/>
      <c r="BP571" s="126"/>
      <c r="BQ571" s="126"/>
      <c r="BR571" s="126"/>
      <c r="BS571" s="126"/>
      <c r="BT571" s="126"/>
      <c r="BU571" s="126"/>
      <c r="BV571" s="126"/>
      <c r="BW571" s="126"/>
      <c r="BX571" s="126"/>
      <c r="BY571" s="126"/>
      <c r="BZ571" s="126"/>
      <c r="CA571" s="126"/>
      <c r="CB571" s="126"/>
      <c r="CC571" s="126"/>
      <c r="CD571" s="126"/>
      <c r="CE571" s="126"/>
      <c r="CF571" s="126"/>
      <c r="CG571" s="126"/>
      <c r="CH571" s="126"/>
      <c r="CI571" s="126"/>
      <c r="CJ571" s="126"/>
      <c r="CK571" s="126"/>
    </row>
    <row r="572" spans="1:89" ht="9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  <c r="BD572" s="126"/>
      <c r="BE572" s="126"/>
      <c r="BF572" s="126"/>
      <c r="BG572" s="126"/>
      <c r="BH572" s="126"/>
      <c r="BI572" s="126"/>
      <c r="BJ572" s="126"/>
      <c r="BK572" s="126"/>
      <c r="BL572" s="126"/>
      <c r="BM572" s="126"/>
      <c r="BN572" s="126"/>
      <c r="BO572" s="126"/>
      <c r="BP572" s="126"/>
      <c r="BQ572" s="126"/>
      <c r="BR572" s="126"/>
      <c r="BS572" s="126"/>
      <c r="BT572" s="126"/>
      <c r="BU572" s="126"/>
      <c r="BV572" s="126"/>
      <c r="BW572" s="126"/>
      <c r="BX572" s="126"/>
      <c r="BY572" s="126"/>
      <c r="BZ572" s="126"/>
      <c r="CA572" s="126"/>
      <c r="CB572" s="126"/>
      <c r="CC572" s="126"/>
      <c r="CD572" s="126"/>
      <c r="CE572" s="126"/>
      <c r="CF572" s="126"/>
      <c r="CG572" s="126"/>
      <c r="CH572" s="126"/>
      <c r="CI572" s="126"/>
      <c r="CJ572" s="126"/>
      <c r="CK572" s="126"/>
    </row>
    <row r="573" spans="1:89" ht="9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  <c r="BD573" s="126"/>
      <c r="BE573" s="126"/>
      <c r="BF573" s="126"/>
      <c r="BG573" s="126"/>
      <c r="BH573" s="126"/>
      <c r="BI573" s="126"/>
      <c r="BJ573" s="126"/>
      <c r="BK573" s="126"/>
      <c r="BL573" s="126"/>
      <c r="BM573" s="126"/>
      <c r="BN573" s="126"/>
      <c r="BO573" s="126"/>
      <c r="BP573" s="126"/>
      <c r="BQ573" s="126"/>
      <c r="BR573" s="126"/>
      <c r="BS573" s="126"/>
      <c r="BT573" s="126"/>
      <c r="BU573" s="126"/>
      <c r="BV573" s="126"/>
      <c r="BW573" s="126"/>
      <c r="BX573" s="126"/>
      <c r="BY573" s="126"/>
      <c r="BZ573" s="126"/>
      <c r="CA573" s="126"/>
      <c r="CB573" s="126"/>
      <c r="CC573" s="126"/>
      <c r="CD573" s="126"/>
      <c r="CE573" s="126"/>
      <c r="CF573" s="126"/>
      <c r="CG573" s="126"/>
      <c r="CH573" s="126"/>
      <c r="CI573" s="126"/>
      <c r="CJ573" s="126"/>
      <c r="CK573" s="126"/>
    </row>
    <row r="574" spans="1:89" ht="9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  <c r="BD574" s="126"/>
      <c r="BE574" s="126"/>
      <c r="BF574" s="126"/>
      <c r="BG574" s="126"/>
      <c r="BH574" s="126"/>
      <c r="BI574" s="126"/>
      <c r="BJ574" s="126"/>
      <c r="BK574" s="126"/>
      <c r="BL574" s="126"/>
      <c r="BM574" s="126"/>
      <c r="BN574" s="126"/>
      <c r="BO574" s="126"/>
      <c r="BP574" s="126"/>
      <c r="BQ574" s="126"/>
      <c r="BR574" s="126"/>
      <c r="BS574" s="126"/>
      <c r="BT574" s="126"/>
      <c r="BU574" s="126"/>
      <c r="BV574" s="126"/>
      <c r="BW574" s="126"/>
      <c r="BX574" s="126"/>
      <c r="BY574" s="126"/>
      <c r="BZ574" s="126"/>
      <c r="CA574" s="126"/>
      <c r="CB574" s="126"/>
      <c r="CC574" s="126"/>
      <c r="CD574" s="126"/>
      <c r="CE574" s="126"/>
      <c r="CF574" s="126"/>
      <c r="CG574" s="126"/>
      <c r="CH574" s="126"/>
      <c r="CI574" s="126"/>
      <c r="CJ574" s="126"/>
      <c r="CK574" s="126"/>
    </row>
    <row r="575" spans="1:89" ht="9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  <c r="BD575" s="126"/>
      <c r="BE575" s="126"/>
      <c r="BF575" s="126"/>
      <c r="BG575" s="126"/>
      <c r="BH575" s="126"/>
      <c r="BI575" s="126"/>
      <c r="BJ575" s="126"/>
      <c r="BK575" s="126"/>
      <c r="BL575" s="126"/>
      <c r="BM575" s="126"/>
      <c r="BN575" s="126"/>
      <c r="BO575" s="126"/>
      <c r="BP575" s="126"/>
      <c r="BQ575" s="126"/>
      <c r="BR575" s="126"/>
      <c r="BS575" s="126"/>
      <c r="BT575" s="126"/>
      <c r="BU575" s="126"/>
      <c r="BV575" s="126"/>
      <c r="BW575" s="126"/>
      <c r="BX575" s="126"/>
      <c r="BY575" s="126"/>
      <c r="BZ575" s="126"/>
      <c r="CA575" s="126"/>
      <c r="CB575" s="126"/>
      <c r="CC575" s="126"/>
      <c r="CD575" s="126"/>
      <c r="CE575" s="126"/>
      <c r="CF575" s="126"/>
      <c r="CG575" s="126"/>
      <c r="CH575" s="126"/>
      <c r="CI575" s="126"/>
      <c r="CJ575" s="126"/>
      <c r="CK575" s="126"/>
    </row>
    <row r="576" spans="1:89" ht="9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  <c r="BD576" s="126"/>
      <c r="BE576" s="126"/>
      <c r="BF576" s="126"/>
      <c r="BG576" s="126"/>
      <c r="BH576" s="126"/>
      <c r="BI576" s="126"/>
      <c r="BJ576" s="126"/>
      <c r="BK576" s="126"/>
      <c r="BL576" s="126"/>
      <c r="BM576" s="126"/>
      <c r="BN576" s="126"/>
      <c r="BO576" s="126"/>
      <c r="BP576" s="126"/>
      <c r="BQ576" s="126"/>
      <c r="BR576" s="126"/>
      <c r="BS576" s="126"/>
      <c r="BT576" s="126"/>
      <c r="BU576" s="126"/>
      <c r="BV576" s="126"/>
      <c r="BW576" s="126"/>
      <c r="BX576" s="126"/>
      <c r="BY576" s="126"/>
      <c r="BZ576" s="126"/>
      <c r="CA576" s="126"/>
      <c r="CB576" s="126"/>
      <c r="CC576" s="126"/>
      <c r="CD576" s="126"/>
      <c r="CE576" s="126"/>
      <c r="CF576" s="126"/>
      <c r="CG576" s="126"/>
      <c r="CH576" s="126"/>
      <c r="CI576" s="126"/>
      <c r="CJ576" s="126"/>
      <c r="CK576" s="126"/>
    </row>
    <row r="577" spans="1:89" ht="9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  <c r="BD577" s="126"/>
      <c r="BE577" s="126"/>
      <c r="BF577" s="126"/>
      <c r="BG577" s="126"/>
      <c r="BH577" s="126"/>
      <c r="BI577" s="126"/>
      <c r="BJ577" s="126"/>
      <c r="BK577" s="126"/>
      <c r="BL577" s="126"/>
      <c r="BM577" s="126"/>
      <c r="BN577" s="126"/>
      <c r="BO577" s="126"/>
      <c r="BP577" s="126"/>
      <c r="BQ577" s="126"/>
      <c r="BR577" s="126"/>
      <c r="BS577" s="126"/>
      <c r="BT577" s="126"/>
      <c r="BU577" s="126"/>
      <c r="BV577" s="126"/>
      <c r="BW577" s="126"/>
      <c r="BX577" s="126"/>
      <c r="BY577" s="126"/>
      <c r="BZ577" s="126"/>
      <c r="CA577" s="126"/>
      <c r="CB577" s="126"/>
      <c r="CC577" s="126"/>
      <c r="CD577" s="126"/>
      <c r="CE577" s="126"/>
      <c r="CF577" s="126"/>
      <c r="CG577" s="126"/>
      <c r="CH577" s="126"/>
      <c r="CI577" s="126"/>
      <c r="CJ577" s="126"/>
      <c r="CK577" s="126"/>
    </row>
    <row r="578" spans="1:89" ht="9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  <c r="BK578" s="126"/>
      <c r="BL578" s="126"/>
      <c r="BM578" s="126"/>
      <c r="BN578" s="126"/>
      <c r="BO578" s="126"/>
      <c r="BP578" s="126"/>
      <c r="BQ578" s="126"/>
      <c r="BR578" s="126"/>
      <c r="BS578" s="126"/>
      <c r="BT578" s="126"/>
      <c r="BU578" s="126"/>
      <c r="BV578" s="126"/>
      <c r="BW578" s="126"/>
      <c r="BX578" s="126"/>
      <c r="BY578" s="126"/>
      <c r="BZ578" s="126"/>
      <c r="CA578" s="126"/>
      <c r="CB578" s="126"/>
      <c r="CC578" s="126"/>
      <c r="CD578" s="126"/>
      <c r="CE578" s="126"/>
      <c r="CF578" s="126"/>
      <c r="CG578" s="126"/>
      <c r="CH578" s="126"/>
      <c r="CI578" s="126"/>
      <c r="CJ578" s="126"/>
      <c r="CK578" s="126"/>
    </row>
    <row r="579" spans="1:89" ht="9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  <c r="BK579" s="126"/>
      <c r="BL579" s="126"/>
      <c r="BM579" s="126"/>
      <c r="BN579" s="126"/>
      <c r="BO579" s="126"/>
      <c r="BP579" s="126"/>
      <c r="BQ579" s="126"/>
      <c r="BR579" s="126"/>
      <c r="BS579" s="126"/>
      <c r="BT579" s="126"/>
      <c r="BU579" s="126"/>
      <c r="BV579" s="126"/>
      <c r="BW579" s="126"/>
      <c r="BX579" s="126"/>
      <c r="BY579" s="126"/>
      <c r="BZ579" s="126"/>
      <c r="CA579" s="126"/>
      <c r="CB579" s="126"/>
      <c r="CC579" s="126"/>
      <c r="CD579" s="126"/>
      <c r="CE579" s="126"/>
      <c r="CF579" s="126"/>
      <c r="CG579" s="126"/>
      <c r="CH579" s="126"/>
      <c r="CI579" s="126"/>
      <c r="CJ579" s="126"/>
      <c r="CK579" s="126"/>
    </row>
    <row r="580" spans="1:89" ht="9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  <c r="BK580" s="126"/>
      <c r="BL580" s="126"/>
      <c r="BM580" s="126"/>
      <c r="BN580" s="126"/>
      <c r="BO580" s="126"/>
      <c r="BP580" s="126"/>
      <c r="BQ580" s="126"/>
      <c r="BR580" s="126"/>
      <c r="BS580" s="126"/>
      <c r="BT580" s="126"/>
      <c r="BU580" s="126"/>
      <c r="BV580" s="126"/>
      <c r="BW580" s="126"/>
      <c r="BX580" s="126"/>
      <c r="BY580" s="126"/>
      <c r="BZ580" s="126"/>
      <c r="CA580" s="126"/>
      <c r="CB580" s="126"/>
      <c r="CC580" s="126"/>
      <c r="CD580" s="126"/>
      <c r="CE580" s="126"/>
      <c r="CF580" s="126"/>
      <c r="CG580" s="126"/>
      <c r="CH580" s="126"/>
      <c r="CI580" s="126"/>
      <c r="CJ580" s="126"/>
      <c r="CK580" s="126"/>
    </row>
    <row r="581" spans="1:89" ht="9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  <c r="BK581" s="126"/>
      <c r="BL581" s="126"/>
      <c r="BM581" s="126"/>
      <c r="BN581" s="126"/>
      <c r="BO581" s="126"/>
      <c r="BP581" s="126"/>
      <c r="BQ581" s="126"/>
      <c r="BR581" s="126"/>
      <c r="BS581" s="126"/>
      <c r="BT581" s="126"/>
      <c r="BU581" s="126"/>
      <c r="BV581" s="126"/>
      <c r="BW581" s="126"/>
      <c r="BX581" s="126"/>
      <c r="BY581" s="126"/>
      <c r="BZ581" s="126"/>
      <c r="CA581" s="126"/>
      <c r="CB581" s="126"/>
      <c r="CC581" s="126"/>
      <c r="CD581" s="126"/>
      <c r="CE581" s="126"/>
      <c r="CF581" s="126"/>
      <c r="CG581" s="126"/>
      <c r="CH581" s="126"/>
      <c r="CI581" s="126"/>
      <c r="CJ581" s="126"/>
      <c r="CK581" s="126"/>
    </row>
    <row r="582" spans="1:89" ht="9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  <c r="BK582" s="126"/>
      <c r="BL582" s="126"/>
      <c r="BM582" s="126"/>
      <c r="BN582" s="126"/>
      <c r="BO582" s="126"/>
      <c r="BP582" s="126"/>
      <c r="BQ582" s="126"/>
      <c r="BR582" s="126"/>
      <c r="BS582" s="126"/>
      <c r="BT582" s="126"/>
      <c r="BU582" s="126"/>
      <c r="BV582" s="126"/>
      <c r="BW582" s="126"/>
      <c r="BX582" s="126"/>
      <c r="BY582" s="126"/>
      <c r="BZ582" s="126"/>
      <c r="CA582" s="126"/>
      <c r="CB582" s="126"/>
      <c r="CC582" s="126"/>
      <c r="CD582" s="126"/>
      <c r="CE582" s="126"/>
      <c r="CF582" s="126"/>
      <c r="CG582" s="126"/>
      <c r="CH582" s="126"/>
      <c r="CI582" s="126"/>
      <c r="CJ582" s="126"/>
      <c r="CK582" s="126"/>
    </row>
    <row r="583" spans="1:89" ht="9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  <c r="BK583" s="126"/>
      <c r="BL583" s="126"/>
      <c r="BM583" s="126"/>
      <c r="BN583" s="126"/>
      <c r="BO583" s="126"/>
      <c r="BP583" s="126"/>
      <c r="BQ583" s="126"/>
      <c r="BR583" s="126"/>
      <c r="BS583" s="126"/>
      <c r="BT583" s="126"/>
      <c r="BU583" s="126"/>
      <c r="BV583" s="126"/>
      <c r="BW583" s="126"/>
      <c r="BX583" s="126"/>
      <c r="BY583" s="126"/>
      <c r="BZ583" s="126"/>
      <c r="CA583" s="126"/>
      <c r="CB583" s="126"/>
      <c r="CC583" s="126"/>
      <c r="CD583" s="126"/>
      <c r="CE583" s="126"/>
      <c r="CF583" s="126"/>
      <c r="CG583" s="126"/>
      <c r="CH583" s="126"/>
      <c r="CI583" s="126"/>
      <c r="CJ583" s="126"/>
      <c r="CK583" s="126"/>
    </row>
    <row r="584" spans="1:89" ht="9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  <c r="BK584" s="126"/>
      <c r="BL584" s="126"/>
      <c r="BM584" s="126"/>
      <c r="BN584" s="126"/>
      <c r="BO584" s="126"/>
      <c r="BP584" s="126"/>
      <c r="BQ584" s="126"/>
      <c r="BR584" s="126"/>
      <c r="BS584" s="126"/>
      <c r="BT584" s="126"/>
      <c r="BU584" s="126"/>
      <c r="BV584" s="126"/>
      <c r="BW584" s="126"/>
      <c r="BX584" s="126"/>
      <c r="BY584" s="126"/>
      <c r="BZ584" s="126"/>
      <c r="CA584" s="126"/>
      <c r="CB584" s="126"/>
      <c r="CC584" s="126"/>
      <c r="CD584" s="126"/>
      <c r="CE584" s="126"/>
      <c r="CF584" s="126"/>
      <c r="CG584" s="126"/>
      <c r="CH584" s="126"/>
      <c r="CI584" s="126"/>
      <c r="CJ584" s="126"/>
      <c r="CK584" s="126"/>
    </row>
    <row r="585" spans="1:89" ht="9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  <c r="BK585" s="126"/>
      <c r="BL585" s="126"/>
      <c r="BM585" s="126"/>
      <c r="BN585" s="126"/>
      <c r="BO585" s="126"/>
      <c r="BP585" s="126"/>
      <c r="BQ585" s="126"/>
      <c r="BR585" s="126"/>
      <c r="BS585" s="126"/>
      <c r="BT585" s="126"/>
      <c r="BU585" s="126"/>
      <c r="BV585" s="126"/>
      <c r="BW585" s="126"/>
      <c r="BX585" s="126"/>
      <c r="BY585" s="126"/>
      <c r="BZ585" s="126"/>
      <c r="CA585" s="126"/>
      <c r="CB585" s="126"/>
      <c r="CC585" s="126"/>
      <c r="CD585" s="126"/>
      <c r="CE585" s="126"/>
      <c r="CF585" s="126"/>
      <c r="CG585" s="126"/>
      <c r="CH585" s="126"/>
      <c r="CI585" s="126"/>
      <c r="CJ585" s="126"/>
      <c r="CK585" s="126"/>
    </row>
    <row r="586" spans="1:89" ht="9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  <c r="BK586" s="126"/>
      <c r="BL586" s="126"/>
      <c r="BM586" s="126"/>
      <c r="BN586" s="126"/>
      <c r="BO586" s="126"/>
      <c r="BP586" s="126"/>
      <c r="BQ586" s="126"/>
      <c r="BR586" s="126"/>
      <c r="BS586" s="126"/>
      <c r="BT586" s="126"/>
      <c r="BU586" s="126"/>
      <c r="BV586" s="126"/>
      <c r="BW586" s="126"/>
      <c r="BX586" s="126"/>
      <c r="BY586" s="126"/>
      <c r="BZ586" s="126"/>
      <c r="CA586" s="126"/>
      <c r="CB586" s="126"/>
      <c r="CC586" s="126"/>
      <c r="CD586" s="126"/>
      <c r="CE586" s="126"/>
      <c r="CF586" s="126"/>
      <c r="CG586" s="126"/>
      <c r="CH586" s="126"/>
      <c r="CI586" s="126"/>
      <c r="CJ586" s="126"/>
      <c r="CK586" s="126"/>
    </row>
    <row r="587" spans="1:89" ht="9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  <c r="BK587" s="126"/>
      <c r="BL587" s="126"/>
      <c r="BM587" s="126"/>
      <c r="BN587" s="126"/>
      <c r="BO587" s="126"/>
      <c r="BP587" s="126"/>
      <c r="BQ587" s="126"/>
      <c r="BR587" s="126"/>
      <c r="BS587" s="126"/>
      <c r="BT587" s="126"/>
      <c r="BU587" s="126"/>
      <c r="BV587" s="126"/>
      <c r="BW587" s="126"/>
      <c r="BX587" s="126"/>
      <c r="BY587" s="126"/>
      <c r="BZ587" s="126"/>
      <c r="CA587" s="126"/>
      <c r="CB587" s="126"/>
      <c r="CC587" s="126"/>
      <c r="CD587" s="126"/>
      <c r="CE587" s="126"/>
      <c r="CF587" s="126"/>
      <c r="CG587" s="126"/>
      <c r="CH587" s="126"/>
      <c r="CI587" s="126"/>
      <c r="CJ587" s="126"/>
      <c r="CK587" s="126"/>
    </row>
    <row r="588" spans="1:89" ht="9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  <c r="BK588" s="126"/>
      <c r="BL588" s="126"/>
      <c r="BM588" s="126"/>
      <c r="BN588" s="126"/>
      <c r="BO588" s="126"/>
      <c r="BP588" s="126"/>
      <c r="BQ588" s="126"/>
      <c r="BR588" s="126"/>
      <c r="BS588" s="126"/>
      <c r="BT588" s="126"/>
      <c r="BU588" s="126"/>
      <c r="BV588" s="126"/>
      <c r="BW588" s="126"/>
      <c r="BX588" s="126"/>
      <c r="BY588" s="126"/>
      <c r="BZ588" s="126"/>
      <c r="CA588" s="126"/>
      <c r="CB588" s="126"/>
      <c r="CC588" s="126"/>
      <c r="CD588" s="126"/>
      <c r="CE588" s="126"/>
      <c r="CF588" s="126"/>
      <c r="CG588" s="126"/>
      <c r="CH588" s="126"/>
      <c r="CI588" s="126"/>
      <c r="CJ588" s="126"/>
      <c r="CK588" s="126"/>
    </row>
    <row r="589" spans="1:89" ht="9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  <c r="BK589" s="126"/>
      <c r="BL589" s="126"/>
      <c r="BM589" s="126"/>
      <c r="BN589" s="126"/>
      <c r="BO589" s="126"/>
      <c r="BP589" s="126"/>
      <c r="BQ589" s="126"/>
      <c r="BR589" s="126"/>
      <c r="BS589" s="126"/>
      <c r="BT589" s="126"/>
      <c r="BU589" s="126"/>
      <c r="BV589" s="126"/>
      <c r="BW589" s="126"/>
      <c r="BX589" s="126"/>
      <c r="BY589" s="126"/>
      <c r="BZ589" s="126"/>
      <c r="CA589" s="126"/>
      <c r="CB589" s="126"/>
      <c r="CC589" s="126"/>
      <c r="CD589" s="126"/>
      <c r="CE589" s="126"/>
      <c r="CF589" s="126"/>
      <c r="CG589" s="126"/>
      <c r="CH589" s="126"/>
      <c r="CI589" s="126"/>
      <c r="CJ589" s="126"/>
      <c r="CK589" s="126"/>
    </row>
    <row r="590" spans="1:89" ht="9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  <c r="BK590" s="126"/>
      <c r="BL590" s="126"/>
      <c r="BM590" s="126"/>
      <c r="BN590" s="126"/>
      <c r="BO590" s="126"/>
      <c r="BP590" s="126"/>
      <c r="BQ590" s="126"/>
      <c r="BR590" s="126"/>
      <c r="BS590" s="126"/>
      <c r="BT590" s="126"/>
      <c r="BU590" s="126"/>
      <c r="BV590" s="126"/>
      <c r="BW590" s="126"/>
      <c r="BX590" s="126"/>
      <c r="BY590" s="126"/>
      <c r="BZ590" s="126"/>
      <c r="CA590" s="126"/>
      <c r="CB590" s="126"/>
      <c r="CC590" s="126"/>
      <c r="CD590" s="126"/>
      <c r="CE590" s="126"/>
      <c r="CF590" s="126"/>
      <c r="CG590" s="126"/>
      <c r="CH590" s="126"/>
      <c r="CI590" s="126"/>
      <c r="CJ590" s="126"/>
      <c r="CK590" s="126"/>
    </row>
    <row r="591" spans="1:89" ht="9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  <c r="BK591" s="126"/>
      <c r="BL591" s="126"/>
      <c r="BM591" s="126"/>
      <c r="BN591" s="126"/>
      <c r="BO591" s="126"/>
      <c r="BP591" s="126"/>
      <c r="BQ591" s="126"/>
      <c r="BR591" s="126"/>
      <c r="BS591" s="126"/>
      <c r="BT591" s="126"/>
      <c r="BU591" s="126"/>
      <c r="BV591" s="126"/>
      <c r="BW591" s="126"/>
      <c r="BX591" s="126"/>
      <c r="BY591" s="126"/>
      <c r="BZ591" s="126"/>
      <c r="CA591" s="126"/>
      <c r="CB591" s="126"/>
      <c r="CC591" s="126"/>
      <c r="CD591" s="126"/>
      <c r="CE591" s="126"/>
      <c r="CF591" s="126"/>
      <c r="CG591" s="126"/>
      <c r="CH591" s="126"/>
      <c r="CI591" s="126"/>
      <c r="CJ591" s="126"/>
      <c r="CK591" s="126"/>
    </row>
    <row r="592" spans="1:89" ht="9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  <c r="BD592" s="126"/>
      <c r="BE592" s="126"/>
      <c r="BF592" s="126"/>
      <c r="BG592" s="126"/>
      <c r="BH592" s="126"/>
      <c r="BI592" s="126"/>
      <c r="BJ592" s="126"/>
      <c r="BK592" s="126"/>
      <c r="BL592" s="126"/>
      <c r="BM592" s="126"/>
      <c r="BN592" s="126"/>
      <c r="BO592" s="126"/>
      <c r="BP592" s="126"/>
      <c r="BQ592" s="126"/>
      <c r="BR592" s="126"/>
      <c r="BS592" s="126"/>
      <c r="BT592" s="126"/>
      <c r="BU592" s="126"/>
      <c r="BV592" s="126"/>
      <c r="BW592" s="126"/>
      <c r="BX592" s="126"/>
      <c r="BY592" s="126"/>
      <c r="BZ592" s="126"/>
      <c r="CA592" s="126"/>
      <c r="CB592" s="126"/>
      <c r="CC592" s="126"/>
      <c r="CD592" s="126"/>
      <c r="CE592" s="126"/>
      <c r="CF592" s="126"/>
      <c r="CG592" s="126"/>
      <c r="CH592" s="126"/>
      <c r="CI592" s="126"/>
      <c r="CJ592" s="126"/>
      <c r="CK592" s="126"/>
    </row>
    <row r="593" spans="1:89" ht="9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  <c r="BD593" s="126"/>
      <c r="BE593" s="126"/>
      <c r="BF593" s="126"/>
      <c r="BG593" s="126"/>
      <c r="BH593" s="126"/>
      <c r="BI593" s="126"/>
      <c r="BJ593" s="126"/>
      <c r="BK593" s="126"/>
      <c r="BL593" s="126"/>
      <c r="BM593" s="126"/>
      <c r="BN593" s="126"/>
      <c r="BO593" s="126"/>
      <c r="BP593" s="126"/>
      <c r="BQ593" s="126"/>
      <c r="BR593" s="126"/>
      <c r="BS593" s="126"/>
      <c r="BT593" s="126"/>
      <c r="BU593" s="126"/>
      <c r="BV593" s="126"/>
      <c r="BW593" s="126"/>
      <c r="BX593" s="126"/>
      <c r="BY593" s="126"/>
      <c r="BZ593" s="126"/>
      <c r="CA593" s="126"/>
      <c r="CB593" s="126"/>
      <c r="CC593" s="126"/>
      <c r="CD593" s="126"/>
      <c r="CE593" s="126"/>
      <c r="CF593" s="126"/>
      <c r="CG593" s="126"/>
      <c r="CH593" s="126"/>
      <c r="CI593" s="126"/>
      <c r="CJ593" s="126"/>
      <c r="CK593" s="126"/>
    </row>
    <row r="594" spans="1:89" ht="9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  <c r="BD594" s="126"/>
      <c r="BE594" s="126"/>
      <c r="BF594" s="126"/>
      <c r="BG594" s="126"/>
      <c r="BH594" s="126"/>
      <c r="BI594" s="126"/>
      <c r="BJ594" s="126"/>
      <c r="BK594" s="126"/>
      <c r="BL594" s="126"/>
      <c r="BM594" s="126"/>
      <c r="BN594" s="126"/>
      <c r="BO594" s="126"/>
      <c r="BP594" s="126"/>
      <c r="BQ594" s="126"/>
      <c r="BR594" s="126"/>
      <c r="BS594" s="126"/>
      <c r="BT594" s="126"/>
      <c r="BU594" s="126"/>
      <c r="BV594" s="126"/>
      <c r="BW594" s="126"/>
      <c r="BX594" s="126"/>
      <c r="BY594" s="126"/>
      <c r="BZ594" s="126"/>
      <c r="CA594" s="126"/>
      <c r="CB594" s="126"/>
      <c r="CC594" s="126"/>
      <c r="CD594" s="126"/>
      <c r="CE594" s="126"/>
      <c r="CF594" s="126"/>
      <c r="CG594" s="126"/>
      <c r="CH594" s="126"/>
      <c r="CI594" s="126"/>
      <c r="CJ594" s="126"/>
      <c r="CK594" s="126"/>
    </row>
    <row r="595" spans="1:89" ht="9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  <c r="BD595" s="126"/>
      <c r="BE595" s="126"/>
      <c r="BF595" s="126"/>
      <c r="BG595" s="126"/>
      <c r="BH595" s="126"/>
      <c r="BI595" s="126"/>
      <c r="BJ595" s="126"/>
      <c r="BK595" s="126"/>
      <c r="BL595" s="126"/>
      <c r="BM595" s="126"/>
      <c r="BN595" s="126"/>
      <c r="BO595" s="126"/>
      <c r="BP595" s="126"/>
      <c r="BQ595" s="126"/>
      <c r="BR595" s="126"/>
      <c r="BS595" s="126"/>
      <c r="BT595" s="126"/>
      <c r="BU595" s="126"/>
      <c r="BV595" s="126"/>
      <c r="BW595" s="126"/>
      <c r="BX595" s="126"/>
      <c r="BY595" s="126"/>
      <c r="BZ595" s="126"/>
      <c r="CA595" s="126"/>
      <c r="CB595" s="126"/>
      <c r="CC595" s="126"/>
      <c r="CD595" s="126"/>
      <c r="CE595" s="126"/>
      <c r="CF595" s="126"/>
      <c r="CG595" s="126"/>
      <c r="CH595" s="126"/>
      <c r="CI595" s="126"/>
      <c r="CJ595" s="126"/>
      <c r="CK595" s="126"/>
    </row>
    <row r="596" spans="1:89" ht="9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  <c r="BD596" s="126"/>
      <c r="BE596" s="126"/>
      <c r="BF596" s="126"/>
      <c r="BG596" s="126"/>
      <c r="BH596" s="126"/>
      <c r="BI596" s="126"/>
      <c r="BJ596" s="126"/>
      <c r="BK596" s="126"/>
      <c r="BL596" s="126"/>
      <c r="BM596" s="126"/>
      <c r="BN596" s="126"/>
      <c r="BO596" s="126"/>
      <c r="BP596" s="126"/>
      <c r="BQ596" s="126"/>
      <c r="BR596" s="126"/>
      <c r="BS596" s="126"/>
      <c r="BT596" s="126"/>
      <c r="BU596" s="126"/>
      <c r="BV596" s="126"/>
      <c r="BW596" s="126"/>
      <c r="BX596" s="126"/>
      <c r="BY596" s="126"/>
      <c r="BZ596" s="126"/>
      <c r="CA596" s="126"/>
      <c r="CB596" s="126"/>
      <c r="CC596" s="126"/>
      <c r="CD596" s="126"/>
      <c r="CE596" s="126"/>
      <c r="CF596" s="126"/>
      <c r="CG596" s="126"/>
      <c r="CH596" s="126"/>
      <c r="CI596" s="126"/>
      <c r="CJ596" s="126"/>
      <c r="CK596" s="126"/>
    </row>
    <row r="597" spans="1:89" ht="9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  <c r="BD597" s="126"/>
      <c r="BE597" s="126"/>
      <c r="BF597" s="126"/>
      <c r="BG597" s="126"/>
      <c r="BH597" s="126"/>
      <c r="BI597" s="126"/>
      <c r="BJ597" s="126"/>
      <c r="BK597" s="126"/>
      <c r="BL597" s="126"/>
      <c r="BM597" s="126"/>
      <c r="BN597" s="126"/>
      <c r="BO597" s="126"/>
      <c r="BP597" s="126"/>
      <c r="BQ597" s="126"/>
      <c r="BR597" s="126"/>
      <c r="BS597" s="126"/>
      <c r="BT597" s="126"/>
      <c r="BU597" s="126"/>
      <c r="BV597" s="126"/>
      <c r="BW597" s="126"/>
      <c r="BX597" s="126"/>
      <c r="BY597" s="126"/>
      <c r="BZ597" s="126"/>
      <c r="CA597" s="126"/>
      <c r="CB597" s="126"/>
      <c r="CC597" s="126"/>
      <c r="CD597" s="126"/>
      <c r="CE597" s="126"/>
      <c r="CF597" s="126"/>
      <c r="CG597" s="126"/>
      <c r="CH597" s="126"/>
      <c r="CI597" s="126"/>
      <c r="CJ597" s="126"/>
      <c r="CK597" s="126"/>
    </row>
    <row r="598" spans="1:89" ht="9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  <c r="BD598" s="126"/>
      <c r="BE598" s="126"/>
      <c r="BF598" s="126"/>
      <c r="BG598" s="126"/>
      <c r="BH598" s="126"/>
      <c r="BI598" s="126"/>
      <c r="BJ598" s="126"/>
      <c r="BK598" s="126"/>
      <c r="BL598" s="126"/>
      <c r="BM598" s="126"/>
      <c r="BN598" s="126"/>
      <c r="BO598" s="126"/>
      <c r="BP598" s="126"/>
      <c r="BQ598" s="126"/>
      <c r="BR598" s="126"/>
      <c r="BS598" s="126"/>
      <c r="BT598" s="126"/>
      <c r="BU598" s="126"/>
      <c r="BV598" s="126"/>
      <c r="BW598" s="126"/>
      <c r="BX598" s="126"/>
      <c r="BY598" s="126"/>
      <c r="BZ598" s="126"/>
      <c r="CA598" s="126"/>
      <c r="CB598" s="126"/>
      <c r="CC598" s="126"/>
      <c r="CD598" s="126"/>
      <c r="CE598" s="126"/>
      <c r="CF598" s="126"/>
      <c r="CG598" s="126"/>
      <c r="CH598" s="126"/>
      <c r="CI598" s="126"/>
      <c r="CJ598" s="126"/>
      <c r="CK598" s="126"/>
    </row>
    <row r="599" spans="1:89" ht="9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  <c r="BD599" s="126"/>
      <c r="BE599" s="126"/>
      <c r="BF599" s="126"/>
      <c r="BG599" s="126"/>
      <c r="BH599" s="126"/>
      <c r="BI599" s="126"/>
      <c r="BJ599" s="126"/>
      <c r="BK599" s="126"/>
      <c r="BL599" s="126"/>
      <c r="BM599" s="126"/>
      <c r="BN599" s="126"/>
      <c r="BO599" s="126"/>
      <c r="BP599" s="126"/>
      <c r="BQ599" s="126"/>
      <c r="BR599" s="126"/>
      <c r="BS599" s="126"/>
      <c r="BT599" s="126"/>
      <c r="BU599" s="126"/>
      <c r="BV599" s="126"/>
      <c r="BW599" s="126"/>
      <c r="BX599" s="126"/>
      <c r="BY599" s="126"/>
      <c r="BZ599" s="126"/>
      <c r="CA599" s="126"/>
      <c r="CB599" s="126"/>
      <c r="CC599" s="126"/>
      <c r="CD599" s="126"/>
      <c r="CE599" s="126"/>
      <c r="CF599" s="126"/>
      <c r="CG599" s="126"/>
      <c r="CH599" s="126"/>
      <c r="CI599" s="126"/>
      <c r="CJ599" s="126"/>
      <c r="CK599" s="126"/>
    </row>
    <row r="600" spans="1:89" ht="9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  <c r="BD600" s="126"/>
      <c r="BE600" s="126"/>
      <c r="BF600" s="126"/>
      <c r="BG600" s="126"/>
      <c r="BH600" s="126"/>
      <c r="BI600" s="126"/>
      <c r="BJ600" s="126"/>
      <c r="BK600" s="126"/>
      <c r="BL600" s="126"/>
      <c r="BM600" s="126"/>
      <c r="BN600" s="126"/>
      <c r="BO600" s="126"/>
      <c r="BP600" s="126"/>
      <c r="BQ600" s="126"/>
      <c r="BR600" s="126"/>
      <c r="BS600" s="126"/>
      <c r="BT600" s="126"/>
      <c r="BU600" s="126"/>
      <c r="BV600" s="126"/>
      <c r="BW600" s="126"/>
      <c r="BX600" s="126"/>
      <c r="BY600" s="126"/>
      <c r="BZ600" s="126"/>
      <c r="CA600" s="126"/>
      <c r="CB600" s="126"/>
      <c r="CC600" s="126"/>
      <c r="CD600" s="126"/>
      <c r="CE600" s="126"/>
      <c r="CF600" s="126"/>
      <c r="CG600" s="126"/>
      <c r="CH600" s="126"/>
      <c r="CI600" s="126"/>
      <c r="CJ600" s="126"/>
      <c r="CK600" s="126"/>
    </row>
    <row r="601" spans="1:89" ht="9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  <c r="BD601" s="126"/>
      <c r="BE601" s="126"/>
      <c r="BF601" s="126"/>
      <c r="BG601" s="126"/>
      <c r="BH601" s="126"/>
      <c r="BI601" s="126"/>
      <c r="BJ601" s="126"/>
      <c r="BK601" s="126"/>
      <c r="BL601" s="126"/>
      <c r="BM601" s="126"/>
      <c r="BN601" s="126"/>
      <c r="BO601" s="126"/>
      <c r="BP601" s="126"/>
      <c r="BQ601" s="126"/>
      <c r="BR601" s="126"/>
      <c r="BS601" s="126"/>
      <c r="BT601" s="126"/>
      <c r="BU601" s="126"/>
      <c r="BV601" s="126"/>
      <c r="BW601" s="126"/>
      <c r="BX601" s="126"/>
      <c r="BY601" s="126"/>
      <c r="BZ601" s="126"/>
      <c r="CA601" s="126"/>
      <c r="CB601" s="126"/>
      <c r="CC601" s="126"/>
      <c r="CD601" s="126"/>
      <c r="CE601" s="126"/>
      <c r="CF601" s="126"/>
      <c r="CG601" s="126"/>
      <c r="CH601" s="126"/>
      <c r="CI601" s="126"/>
      <c r="CJ601" s="126"/>
      <c r="CK601" s="126"/>
    </row>
    <row r="602" spans="1:89" ht="9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  <c r="BD602" s="126"/>
      <c r="BE602" s="126"/>
      <c r="BF602" s="126"/>
      <c r="BG602" s="126"/>
      <c r="BH602" s="126"/>
      <c r="BI602" s="126"/>
      <c r="BJ602" s="126"/>
      <c r="BK602" s="126"/>
      <c r="BL602" s="126"/>
      <c r="BM602" s="126"/>
      <c r="BN602" s="126"/>
      <c r="BO602" s="126"/>
      <c r="BP602" s="126"/>
      <c r="BQ602" s="126"/>
      <c r="BR602" s="126"/>
      <c r="BS602" s="126"/>
      <c r="BT602" s="126"/>
      <c r="BU602" s="126"/>
      <c r="BV602" s="126"/>
      <c r="BW602" s="126"/>
      <c r="BX602" s="126"/>
      <c r="BY602" s="126"/>
      <c r="BZ602" s="126"/>
      <c r="CA602" s="126"/>
      <c r="CB602" s="126"/>
      <c r="CC602" s="126"/>
      <c r="CD602" s="126"/>
      <c r="CE602" s="126"/>
      <c r="CF602" s="126"/>
      <c r="CG602" s="126"/>
      <c r="CH602" s="126"/>
      <c r="CI602" s="126"/>
      <c r="CJ602" s="126"/>
      <c r="CK602" s="126"/>
    </row>
    <row r="603" spans="1:89" ht="9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  <c r="BD603" s="126"/>
      <c r="BE603" s="126"/>
      <c r="BF603" s="126"/>
      <c r="BG603" s="126"/>
      <c r="BH603" s="126"/>
      <c r="BI603" s="126"/>
      <c r="BJ603" s="126"/>
      <c r="BK603" s="126"/>
      <c r="BL603" s="126"/>
      <c r="BM603" s="126"/>
      <c r="BN603" s="126"/>
      <c r="BO603" s="126"/>
      <c r="BP603" s="126"/>
      <c r="BQ603" s="126"/>
      <c r="BR603" s="126"/>
      <c r="BS603" s="126"/>
      <c r="BT603" s="126"/>
      <c r="BU603" s="126"/>
      <c r="BV603" s="126"/>
      <c r="BW603" s="126"/>
      <c r="BX603" s="126"/>
      <c r="BY603" s="126"/>
      <c r="BZ603" s="126"/>
      <c r="CA603" s="126"/>
      <c r="CB603" s="126"/>
      <c r="CC603" s="126"/>
      <c r="CD603" s="126"/>
      <c r="CE603" s="126"/>
      <c r="CF603" s="126"/>
      <c r="CG603" s="126"/>
      <c r="CH603" s="126"/>
      <c r="CI603" s="126"/>
      <c r="CJ603" s="126"/>
      <c r="CK603" s="126"/>
    </row>
    <row r="604" spans="1:89" ht="9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  <c r="BD604" s="126"/>
      <c r="BE604" s="126"/>
      <c r="BF604" s="126"/>
      <c r="BG604" s="126"/>
      <c r="BH604" s="126"/>
      <c r="BI604" s="126"/>
      <c r="BJ604" s="126"/>
      <c r="BK604" s="126"/>
      <c r="BL604" s="126"/>
      <c r="BM604" s="126"/>
      <c r="BN604" s="126"/>
      <c r="BO604" s="126"/>
      <c r="BP604" s="126"/>
      <c r="BQ604" s="126"/>
      <c r="BR604" s="126"/>
      <c r="BS604" s="126"/>
      <c r="BT604" s="126"/>
      <c r="BU604" s="126"/>
      <c r="BV604" s="126"/>
      <c r="BW604" s="126"/>
      <c r="BX604" s="126"/>
      <c r="BY604" s="126"/>
      <c r="BZ604" s="126"/>
      <c r="CA604" s="126"/>
      <c r="CB604" s="126"/>
      <c r="CC604" s="126"/>
      <c r="CD604" s="126"/>
      <c r="CE604" s="126"/>
      <c r="CF604" s="126"/>
      <c r="CG604" s="126"/>
      <c r="CH604" s="126"/>
      <c r="CI604" s="126"/>
      <c r="CJ604" s="126"/>
      <c r="CK604" s="126"/>
    </row>
    <row r="605" spans="1:89" ht="9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  <c r="BD605" s="126"/>
      <c r="BE605" s="126"/>
      <c r="BF605" s="126"/>
      <c r="BG605" s="126"/>
      <c r="BH605" s="126"/>
      <c r="BI605" s="126"/>
      <c r="BJ605" s="126"/>
      <c r="BK605" s="126"/>
      <c r="BL605" s="126"/>
      <c r="BM605" s="126"/>
      <c r="BN605" s="126"/>
      <c r="BO605" s="126"/>
      <c r="BP605" s="126"/>
      <c r="BQ605" s="126"/>
      <c r="BR605" s="126"/>
      <c r="BS605" s="126"/>
      <c r="BT605" s="126"/>
      <c r="BU605" s="126"/>
      <c r="BV605" s="126"/>
      <c r="BW605" s="126"/>
      <c r="BX605" s="126"/>
      <c r="BY605" s="126"/>
      <c r="BZ605" s="126"/>
      <c r="CA605" s="126"/>
      <c r="CB605" s="126"/>
      <c r="CC605" s="126"/>
      <c r="CD605" s="126"/>
      <c r="CE605" s="126"/>
      <c r="CF605" s="126"/>
      <c r="CG605" s="126"/>
      <c r="CH605" s="126"/>
      <c r="CI605" s="126"/>
      <c r="CJ605" s="126"/>
      <c r="CK605" s="126"/>
    </row>
    <row r="606" spans="1:89" ht="9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  <c r="BD606" s="126"/>
      <c r="BE606" s="126"/>
      <c r="BF606" s="126"/>
      <c r="BG606" s="126"/>
      <c r="BH606" s="126"/>
      <c r="BI606" s="126"/>
      <c r="BJ606" s="126"/>
      <c r="BK606" s="126"/>
      <c r="BL606" s="126"/>
      <c r="BM606" s="126"/>
      <c r="BN606" s="126"/>
      <c r="BO606" s="126"/>
      <c r="BP606" s="126"/>
      <c r="BQ606" s="126"/>
      <c r="BR606" s="126"/>
      <c r="BS606" s="126"/>
      <c r="BT606" s="126"/>
      <c r="BU606" s="126"/>
      <c r="BV606" s="126"/>
      <c r="BW606" s="126"/>
      <c r="BX606" s="126"/>
      <c r="BY606" s="126"/>
      <c r="BZ606" s="126"/>
      <c r="CA606" s="126"/>
      <c r="CB606" s="126"/>
      <c r="CC606" s="126"/>
      <c r="CD606" s="126"/>
      <c r="CE606" s="126"/>
      <c r="CF606" s="126"/>
      <c r="CG606" s="126"/>
      <c r="CH606" s="126"/>
      <c r="CI606" s="126"/>
      <c r="CJ606" s="126"/>
      <c r="CK606" s="126"/>
    </row>
    <row r="607" spans="1:89" ht="9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  <c r="BD607" s="126"/>
      <c r="BE607" s="126"/>
      <c r="BF607" s="126"/>
      <c r="BG607" s="126"/>
      <c r="BH607" s="126"/>
      <c r="BI607" s="126"/>
      <c r="BJ607" s="126"/>
      <c r="BK607" s="126"/>
      <c r="BL607" s="126"/>
      <c r="BM607" s="126"/>
      <c r="BN607" s="126"/>
      <c r="BO607" s="126"/>
      <c r="BP607" s="126"/>
      <c r="BQ607" s="126"/>
      <c r="BR607" s="126"/>
      <c r="BS607" s="126"/>
      <c r="BT607" s="126"/>
      <c r="BU607" s="126"/>
      <c r="BV607" s="126"/>
      <c r="BW607" s="126"/>
      <c r="BX607" s="126"/>
      <c r="BY607" s="126"/>
      <c r="BZ607" s="126"/>
      <c r="CA607" s="126"/>
      <c r="CB607" s="126"/>
      <c r="CC607" s="126"/>
      <c r="CD607" s="126"/>
      <c r="CE607" s="126"/>
      <c r="CF607" s="126"/>
      <c r="CG607" s="126"/>
      <c r="CH607" s="126"/>
      <c r="CI607" s="126"/>
      <c r="CJ607" s="126"/>
      <c r="CK607" s="126"/>
    </row>
    <row r="608" spans="1:89" ht="9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  <c r="BF608" s="126"/>
      <c r="BG608" s="126"/>
      <c r="BH608" s="126"/>
      <c r="BI608" s="126"/>
      <c r="BJ608" s="126"/>
      <c r="BK608" s="126"/>
      <c r="BL608" s="126"/>
      <c r="BM608" s="126"/>
      <c r="BN608" s="126"/>
      <c r="BO608" s="126"/>
      <c r="BP608" s="126"/>
      <c r="BQ608" s="126"/>
      <c r="BR608" s="126"/>
      <c r="BS608" s="126"/>
      <c r="BT608" s="126"/>
      <c r="BU608" s="126"/>
      <c r="BV608" s="126"/>
      <c r="BW608" s="126"/>
      <c r="BX608" s="126"/>
      <c r="BY608" s="126"/>
      <c r="BZ608" s="126"/>
      <c r="CA608" s="126"/>
      <c r="CB608" s="126"/>
      <c r="CC608" s="126"/>
      <c r="CD608" s="126"/>
      <c r="CE608" s="126"/>
      <c r="CF608" s="126"/>
      <c r="CG608" s="126"/>
      <c r="CH608" s="126"/>
      <c r="CI608" s="126"/>
      <c r="CJ608" s="126"/>
      <c r="CK608" s="126"/>
    </row>
    <row r="609" spans="1:89" ht="9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  <c r="BD609" s="126"/>
      <c r="BE609" s="126"/>
      <c r="BF609" s="126"/>
      <c r="BG609" s="126"/>
      <c r="BH609" s="126"/>
      <c r="BI609" s="126"/>
      <c r="BJ609" s="126"/>
      <c r="BK609" s="126"/>
      <c r="BL609" s="126"/>
      <c r="BM609" s="126"/>
      <c r="BN609" s="126"/>
      <c r="BO609" s="126"/>
      <c r="BP609" s="126"/>
      <c r="BQ609" s="126"/>
      <c r="BR609" s="126"/>
      <c r="BS609" s="126"/>
      <c r="BT609" s="126"/>
      <c r="BU609" s="126"/>
      <c r="BV609" s="126"/>
      <c r="BW609" s="126"/>
      <c r="BX609" s="126"/>
      <c r="BY609" s="126"/>
      <c r="BZ609" s="126"/>
      <c r="CA609" s="126"/>
      <c r="CB609" s="126"/>
      <c r="CC609" s="126"/>
      <c r="CD609" s="126"/>
      <c r="CE609" s="126"/>
      <c r="CF609" s="126"/>
      <c r="CG609" s="126"/>
      <c r="CH609" s="126"/>
      <c r="CI609" s="126"/>
      <c r="CJ609" s="126"/>
      <c r="CK609" s="126"/>
    </row>
    <row r="610" spans="1:89" ht="9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  <c r="BD610" s="126"/>
      <c r="BE610" s="126"/>
      <c r="BF610" s="126"/>
      <c r="BG610" s="126"/>
      <c r="BH610" s="126"/>
      <c r="BI610" s="126"/>
      <c r="BJ610" s="126"/>
      <c r="BK610" s="126"/>
      <c r="BL610" s="126"/>
      <c r="BM610" s="126"/>
      <c r="BN610" s="126"/>
      <c r="BO610" s="126"/>
      <c r="BP610" s="126"/>
      <c r="BQ610" s="126"/>
      <c r="BR610" s="126"/>
      <c r="BS610" s="126"/>
      <c r="BT610" s="126"/>
      <c r="BU610" s="126"/>
      <c r="BV610" s="126"/>
      <c r="BW610" s="126"/>
      <c r="BX610" s="126"/>
      <c r="BY610" s="126"/>
      <c r="BZ610" s="126"/>
      <c r="CA610" s="126"/>
      <c r="CB610" s="126"/>
      <c r="CC610" s="126"/>
      <c r="CD610" s="126"/>
      <c r="CE610" s="126"/>
      <c r="CF610" s="126"/>
      <c r="CG610" s="126"/>
      <c r="CH610" s="126"/>
      <c r="CI610" s="126"/>
      <c r="CJ610" s="126"/>
      <c r="CK610" s="126"/>
    </row>
    <row r="611" spans="1:89" ht="9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  <c r="BD611" s="126"/>
      <c r="BE611" s="126"/>
      <c r="BF611" s="126"/>
      <c r="BG611" s="126"/>
      <c r="BH611" s="126"/>
      <c r="BI611" s="126"/>
      <c r="BJ611" s="126"/>
      <c r="BK611" s="126"/>
      <c r="BL611" s="126"/>
      <c r="BM611" s="126"/>
      <c r="BN611" s="126"/>
      <c r="BO611" s="126"/>
      <c r="BP611" s="126"/>
      <c r="BQ611" s="126"/>
      <c r="BR611" s="126"/>
      <c r="BS611" s="126"/>
      <c r="BT611" s="126"/>
      <c r="BU611" s="126"/>
      <c r="BV611" s="126"/>
      <c r="BW611" s="126"/>
      <c r="BX611" s="126"/>
      <c r="BY611" s="126"/>
      <c r="BZ611" s="126"/>
      <c r="CA611" s="126"/>
      <c r="CB611" s="126"/>
      <c r="CC611" s="126"/>
      <c r="CD611" s="126"/>
      <c r="CE611" s="126"/>
      <c r="CF611" s="126"/>
      <c r="CG611" s="126"/>
      <c r="CH611" s="126"/>
      <c r="CI611" s="126"/>
      <c r="CJ611" s="126"/>
      <c r="CK611" s="126"/>
    </row>
    <row r="612" spans="1:89" ht="9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  <c r="BD612" s="126"/>
      <c r="BE612" s="126"/>
      <c r="BF612" s="126"/>
      <c r="BG612" s="126"/>
      <c r="BH612" s="126"/>
      <c r="BI612" s="126"/>
      <c r="BJ612" s="126"/>
      <c r="BK612" s="126"/>
      <c r="BL612" s="126"/>
      <c r="BM612" s="126"/>
      <c r="BN612" s="126"/>
      <c r="BO612" s="126"/>
      <c r="BP612" s="126"/>
      <c r="BQ612" s="126"/>
      <c r="BR612" s="126"/>
      <c r="BS612" s="126"/>
      <c r="BT612" s="126"/>
      <c r="BU612" s="126"/>
      <c r="BV612" s="126"/>
      <c r="BW612" s="126"/>
      <c r="BX612" s="126"/>
      <c r="BY612" s="126"/>
      <c r="BZ612" s="126"/>
      <c r="CA612" s="126"/>
      <c r="CB612" s="126"/>
      <c r="CC612" s="126"/>
      <c r="CD612" s="126"/>
      <c r="CE612" s="126"/>
      <c r="CF612" s="126"/>
      <c r="CG612" s="126"/>
      <c r="CH612" s="126"/>
      <c r="CI612" s="126"/>
      <c r="CJ612" s="126"/>
      <c r="CK612" s="126"/>
    </row>
    <row r="613" spans="1:89" ht="9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  <c r="BD613" s="126"/>
      <c r="BE613" s="126"/>
      <c r="BF613" s="126"/>
      <c r="BG613" s="126"/>
      <c r="BH613" s="126"/>
      <c r="BI613" s="126"/>
      <c r="BJ613" s="126"/>
      <c r="BK613" s="126"/>
      <c r="BL613" s="126"/>
      <c r="BM613" s="126"/>
      <c r="BN613" s="126"/>
      <c r="BO613" s="126"/>
      <c r="BP613" s="126"/>
      <c r="BQ613" s="126"/>
      <c r="BR613" s="126"/>
      <c r="BS613" s="126"/>
      <c r="BT613" s="126"/>
      <c r="BU613" s="126"/>
      <c r="BV613" s="126"/>
      <c r="BW613" s="126"/>
      <c r="BX613" s="126"/>
      <c r="BY613" s="126"/>
      <c r="BZ613" s="126"/>
      <c r="CA613" s="126"/>
      <c r="CB613" s="126"/>
      <c r="CC613" s="126"/>
      <c r="CD613" s="126"/>
      <c r="CE613" s="126"/>
      <c r="CF613" s="126"/>
      <c r="CG613" s="126"/>
      <c r="CH613" s="126"/>
      <c r="CI613" s="126"/>
      <c r="CJ613" s="126"/>
      <c r="CK613" s="126"/>
    </row>
    <row r="614" spans="1:89" ht="9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  <c r="BD614" s="126"/>
      <c r="BE614" s="126"/>
      <c r="BF614" s="126"/>
      <c r="BG614" s="126"/>
      <c r="BH614" s="126"/>
      <c r="BI614" s="126"/>
      <c r="BJ614" s="126"/>
      <c r="BK614" s="126"/>
      <c r="BL614" s="126"/>
      <c r="BM614" s="126"/>
      <c r="BN614" s="126"/>
      <c r="BO614" s="126"/>
      <c r="BP614" s="126"/>
      <c r="BQ614" s="126"/>
      <c r="BR614" s="126"/>
      <c r="BS614" s="126"/>
      <c r="BT614" s="126"/>
      <c r="BU614" s="126"/>
      <c r="BV614" s="126"/>
      <c r="BW614" s="126"/>
      <c r="BX614" s="126"/>
      <c r="BY614" s="126"/>
      <c r="BZ614" s="126"/>
      <c r="CA614" s="126"/>
      <c r="CB614" s="126"/>
      <c r="CC614" s="126"/>
      <c r="CD614" s="126"/>
      <c r="CE614" s="126"/>
      <c r="CF614" s="126"/>
      <c r="CG614" s="126"/>
      <c r="CH614" s="126"/>
      <c r="CI614" s="126"/>
      <c r="CJ614" s="126"/>
      <c r="CK614" s="126"/>
    </row>
    <row r="615" spans="1:89" ht="9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  <c r="BD615" s="126"/>
      <c r="BE615" s="126"/>
      <c r="BF615" s="126"/>
      <c r="BG615" s="126"/>
      <c r="BH615" s="126"/>
      <c r="BI615" s="126"/>
      <c r="BJ615" s="126"/>
      <c r="BK615" s="126"/>
      <c r="BL615" s="126"/>
      <c r="BM615" s="126"/>
      <c r="BN615" s="126"/>
      <c r="BO615" s="126"/>
      <c r="BP615" s="126"/>
      <c r="BQ615" s="126"/>
      <c r="BR615" s="126"/>
      <c r="BS615" s="126"/>
      <c r="BT615" s="126"/>
      <c r="BU615" s="126"/>
      <c r="BV615" s="126"/>
      <c r="BW615" s="126"/>
      <c r="BX615" s="126"/>
      <c r="BY615" s="126"/>
      <c r="BZ615" s="126"/>
      <c r="CA615" s="126"/>
      <c r="CB615" s="126"/>
      <c r="CC615" s="126"/>
      <c r="CD615" s="126"/>
      <c r="CE615" s="126"/>
      <c r="CF615" s="126"/>
      <c r="CG615" s="126"/>
      <c r="CH615" s="126"/>
      <c r="CI615" s="126"/>
      <c r="CJ615" s="126"/>
      <c r="CK615" s="126"/>
    </row>
    <row r="616" spans="1:89" ht="9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  <c r="BD616" s="126"/>
      <c r="BE616" s="126"/>
      <c r="BF616" s="126"/>
      <c r="BG616" s="126"/>
      <c r="BH616" s="126"/>
      <c r="BI616" s="126"/>
      <c r="BJ616" s="126"/>
      <c r="BK616" s="126"/>
      <c r="BL616" s="126"/>
      <c r="BM616" s="126"/>
      <c r="BN616" s="126"/>
      <c r="BO616" s="126"/>
      <c r="BP616" s="126"/>
      <c r="BQ616" s="126"/>
      <c r="BR616" s="126"/>
      <c r="BS616" s="126"/>
      <c r="BT616" s="126"/>
      <c r="BU616" s="126"/>
      <c r="BV616" s="126"/>
      <c r="BW616" s="126"/>
      <c r="BX616" s="126"/>
      <c r="BY616" s="126"/>
      <c r="BZ616" s="126"/>
      <c r="CA616" s="126"/>
      <c r="CB616" s="126"/>
      <c r="CC616" s="126"/>
      <c r="CD616" s="126"/>
      <c r="CE616" s="126"/>
      <c r="CF616" s="126"/>
      <c r="CG616" s="126"/>
      <c r="CH616" s="126"/>
      <c r="CI616" s="126"/>
      <c r="CJ616" s="126"/>
      <c r="CK616" s="126"/>
    </row>
    <row r="617" spans="1:89" ht="9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  <c r="BD617" s="126"/>
      <c r="BE617" s="126"/>
      <c r="BF617" s="126"/>
      <c r="BG617" s="126"/>
      <c r="BH617" s="126"/>
      <c r="BI617" s="126"/>
      <c r="BJ617" s="126"/>
      <c r="BK617" s="126"/>
      <c r="BL617" s="126"/>
      <c r="BM617" s="126"/>
      <c r="BN617" s="126"/>
      <c r="BO617" s="126"/>
      <c r="BP617" s="126"/>
      <c r="BQ617" s="126"/>
      <c r="BR617" s="126"/>
      <c r="BS617" s="126"/>
      <c r="BT617" s="126"/>
      <c r="BU617" s="126"/>
      <c r="BV617" s="126"/>
      <c r="BW617" s="126"/>
      <c r="BX617" s="126"/>
      <c r="BY617" s="126"/>
      <c r="BZ617" s="126"/>
      <c r="CA617" s="126"/>
      <c r="CB617" s="126"/>
      <c r="CC617" s="126"/>
      <c r="CD617" s="126"/>
      <c r="CE617" s="126"/>
      <c r="CF617" s="126"/>
      <c r="CG617" s="126"/>
      <c r="CH617" s="126"/>
      <c r="CI617" s="126"/>
      <c r="CJ617" s="126"/>
      <c r="CK617" s="126"/>
    </row>
    <row r="618" spans="1:89" ht="9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  <c r="BD618" s="126"/>
      <c r="BE618" s="126"/>
      <c r="BF618" s="126"/>
      <c r="BG618" s="126"/>
      <c r="BH618" s="126"/>
      <c r="BI618" s="126"/>
      <c r="BJ618" s="126"/>
      <c r="BK618" s="126"/>
      <c r="BL618" s="126"/>
      <c r="BM618" s="126"/>
      <c r="BN618" s="126"/>
      <c r="BO618" s="126"/>
      <c r="BP618" s="126"/>
      <c r="BQ618" s="126"/>
      <c r="BR618" s="126"/>
      <c r="BS618" s="126"/>
      <c r="BT618" s="126"/>
      <c r="BU618" s="126"/>
      <c r="BV618" s="126"/>
      <c r="BW618" s="126"/>
      <c r="BX618" s="126"/>
      <c r="BY618" s="126"/>
      <c r="BZ618" s="126"/>
      <c r="CA618" s="126"/>
      <c r="CB618" s="126"/>
      <c r="CC618" s="126"/>
      <c r="CD618" s="126"/>
      <c r="CE618" s="126"/>
      <c r="CF618" s="126"/>
      <c r="CG618" s="126"/>
      <c r="CH618" s="126"/>
      <c r="CI618" s="126"/>
      <c r="CJ618" s="126"/>
      <c r="CK618" s="126"/>
    </row>
    <row r="619" spans="1:89" ht="9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  <c r="BD619" s="126"/>
      <c r="BE619" s="126"/>
      <c r="BF619" s="126"/>
      <c r="BG619" s="126"/>
      <c r="BH619" s="126"/>
      <c r="BI619" s="126"/>
      <c r="BJ619" s="126"/>
      <c r="BK619" s="126"/>
      <c r="BL619" s="126"/>
      <c r="BM619" s="126"/>
      <c r="BN619" s="126"/>
      <c r="BO619" s="126"/>
      <c r="BP619" s="126"/>
      <c r="BQ619" s="126"/>
      <c r="BR619" s="126"/>
      <c r="BS619" s="126"/>
      <c r="BT619" s="126"/>
      <c r="BU619" s="126"/>
      <c r="BV619" s="126"/>
      <c r="BW619" s="126"/>
      <c r="BX619" s="126"/>
      <c r="BY619" s="126"/>
      <c r="BZ619" s="126"/>
      <c r="CA619" s="126"/>
      <c r="CB619" s="126"/>
      <c r="CC619" s="126"/>
      <c r="CD619" s="126"/>
      <c r="CE619" s="126"/>
      <c r="CF619" s="126"/>
      <c r="CG619" s="126"/>
      <c r="CH619" s="126"/>
      <c r="CI619" s="126"/>
      <c r="CJ619" s="126"/>
      <c r="CK619" s="126"/>
    </row>
    <row r="620" spans="1:89" ht="9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  <c r="BF620" s="126"/>
      <c r="BG620" s="126"/>
      <c r="BH620" s="126"/>
      <c r="BI620" s="126"/>
      <c r="BJ620" s="126"/>
      <c r="BK620" s="126"/>
      <c r="BL620" s="126"/>
      <c r="BM620" s="126"/>
      <c r="BN620" s="126"/>
      <c r="BO620" s="126"/>
      <c r="BP620" s="126"/>
      <c r="BQ620" s="126"/>
      <c r="BR620" s="126"/>
      <c r="BS620" s="126"/>
      <c r="BT620" s="126"/>
      <c r="BU620" s="126"/>
      <c r="BV620" s="126"/>
      <c r="BW620" s="126"/>
      <c r="BX620" s="126"/>
      <c r="BY620" s="126"/>
      <c r="BZ620" s="126"/>
      <c r="CA620" s="126"/>
      <c r="CB620" s="126"/>
      <c r="CC620" s="126"/>
      <c r="CD620" s="126"/>
      <c r="CE620" s="126"/>
      <c r="CF620" s="126"/>
      <c r="CG620" s="126"/>
      <c r="CH620" s="126"/>
      <c r="CI620" s="126"/>
      <c r="CJ620" s="126"/>
      <c r="CK620" s="126"/>
    </row>
    <row r="621" spans="1:89" ht="9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  <c r="BF621" s="126"/>
      <c r="BG621" s="126"/>
      <c r="BH621" s="126"/>
      <c r="BI621" s="126"/>
      <c r="BJ621" s="126"/>
      <c r="BK621" s="126"/>
      <c r="BL621" s="126"/>
      <c r="BM621" s="126"/>
      <c r="BN621" s="126"/>
      <c r="BO621" s="126"/>
      <c r="BP621" s="126"/>
      <c r="BQ621" s="126"/>
      <c r="BR621" s="126"/>
      <c r="BS621" s="126"/>
      <c r="BT621" s="126"/>
      <c r="BU621" s="126"/>
      <c r="BV621" s="126"/>
      <c r="BW621" s="126"/>
      <c r="BX621" s="126"/>
      <c r="BY621" s="126"/>
      <c r="BZ621" s="126"/>
      <c r="CA621" s="126"/>
      <c r="CB621" s="126"/>
      <c r="CC621" s="126"/>
      <c r="CD621" s="126"/>
      <c r="CE621" s="126"/>
      <c r="CF621" s="126"/>
      <c r="CG621" s="126"/>
      <c r="CH621" s="126"/>
      <c r="CI621" s="126"/>
      <c r="CJ621" s="126"/>
      <c r="CK621" s="126"/>
    </row>
    <row r="622" spans="1:89" ht="9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  <c r="BD622" s="126"/>
      <c r="BE622" s="126"/>
      <c r="BF622" s="126"/>
      <c r="BG622" s="126"/>
      <c r="BH622" s="126"/>
      <c r="BI622" s="126"/>
      <c r="BJ622" s="126"/>
      <c r="BK622" s="126"/>
      <c r="BL622" s="126"/>
      <c r="BM622" s="126"/>
      <c r="BN622" s="126"/>
      <c r="BO622" s="126"/>
      <c r="BP622" s="126"/>
      <c r="BQ622" s="126"/>
      <c r="BR622" s="126"/>
      <c r="BS622" s="126"/>
      <c r="BT622" s="126"/>
      <c r="BU622" s="126"/>
      <c r="BV622" s="126"/>
      <c r="BW622" s="126"/>
      <c r="BX622" s="126"/>
      <c r="BY622" s="126"/>
      <c r="BZ622" s="126"/>
      <c r="CA622" s="126"/>
      <c r="CB622" s="126"/>
      <c r="CC622" s="126"/>
      <c r="CD622" s="126"/>
      <c r="CE622" s="126"/>
      <c r="CF622" s="126"/>
      <c r="CG622" s="126"/>
      <c r="CH622" s="126"/>
      <c r="CI622" s="126"/>
      <c r="CJ622" s="126"/>
      <c r="CK622" s="126"/>
    </row>
    <row r="623" spans="1:89" ht="9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  <c r="BD623" s="126"/>
      <c r="BE623" s="126"/>
      <c r="BF623" s="126"/>
      <c r="BG623" s="126"/>
      <c r="BH623" s="126"/>
      <c r="BI623" s="126"/>
      <c r="BJ623" s="126"/>
      <c r="BK623" s="126"/>
      <c r="BL623" s="126"/>
      <c r="BM623" s="126"/>
      <c r="BN623" s="126"/>
      <c r="BO623" s="126"/>
      <c r="BP623" s="126"/>
      <c r="BQ623" s="126"/>
      <c r="BR623" s="126"/>
      <c r="BS623" s="126"/>
      <c r="BT623" s="126"/>
      <c r="BU623" s="126"/>
      <c r="BV623" s="126"/>
      <c r="BW623" s="126"/>
      <c r="BX623" s="126"/>
      <c r="BY623" s="126"/>
      <c r="BZ623" s="126"/>
      <c r="CA623" s="126"/>
      <c r="CB623" s="126"/>
      <c r="CC623" s="126"/>
      <c r="CD623" s="126"/>
      <c r="CE623" s="126"/>
      <c r="CF623" s="126"/>
      <c r="CG623" s="126"/>
      <c r="CH623" s="126"/>
      <c r="CI623" s="126"/>
      <c r="CJ623" s="126"/>
      <c r="CK623" s="126"/>
    </row>
    <row r="624" spans="1:89" ht="9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  <c r="BD624" s="126"/>
      <c r="BE624" s="126"/>
      <c r="BF624" s="126"/>
      <c r="BG624" s="126"/>
      <c r="BH624" s="126"/>
      <c r="BI624" s="126"/>
      <c r="BJ624" s="126"/>
      <c r="BK624" s="126"/>
      <c r="BL624" s="126"/>
      <c r="BM624" s="126"/>
      <c r="BN624" s="126"/>
      <c r="BO624" s="126"/>
      <c r="BP624" s="126"/>
      <c r="BQ624" s="126"/>
      <c r="BR624" s="126"/>
      <c r="BS624" s="126"/>
      <c r="BT624" s="126"/>
      <c r="BU624" s="126"/>
      <c r="BV624" s="126"/>
      <c r="BW624" s="126"/>
      <c r="BX624" s="126"/>
      <c r="BY624" s="126"/>
      <c r="BZ624" s="126"/>
      <c r="CA624" s="126"/>
      <c r="CB624" s="126"/>
      <c r="CC624" s="126"/>
      <c r="CD624" s="126"/>
      <c r="CE624" s="126"/>
      <c r="CF624" s="126"/>
      <c r="CG624" s="126"/>
      <c r="CH624" s="126"/>
      <c r="CI624" s="126"/>
      <c r="CJ624" s="126"/>
      <c r="CK624" s="126"/>
    </row>
    <row r="625" spans="1:89" ht="9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  <c r="BD625" s="126"/>
      <c r="BE625" s="126"/>
      <c r="BF625" s="126"/>
      <c r="BG625" s="126"/>
      <c r="BH625" s="126"/>
      <c r="BI625" s="126"/>
      <c r="BJ625" s="126"/>
      <c r="BK625" s="126"/>
      <c r="BL625" s="126"/>
      <c r="BM625" s="126"/>
      <c r="BN625" s="126"/>
      <c r="BO625" s="126"/>
      <c r="BP625" s="126"/>
      <c r="BQ625" s="126"/>
      <c r="BR625" s="126"/>
      <c r="BS625" s="126"/>
      <c r="BT625" s="126"/>
      <c r="BU625" s="126"/>
      <c r="BV625" s="126"/>
      <c r="BW625" s="126"/>
      <c r="BX625" s="126"/>
      <c r="BY625" s="126"/>
      <c r="BZ625" s="126"/>
      <c r="CA625" s="126"/>
      <c r="CB625" s="126"/>
      <c r="CC625" s="126"/>
      <c r="CD625" s="126"/>
      <c r="CE625" s="126"/>
      <c r="CF625" s="126"/>
      <c r="CG625" s="126"/>
      <c r="CH625" s="126"/>
      <c r="CI625" s="126"/>
      <c r="CJ625" s="126"/>
      <c r="CK625" s="126"/>
    </row>
    <row r="626" spans="1:89" ht="9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  <c r="BD626" s="126"/>
      <c r="BE626" s="126"/>
      <c r="BF626" s="126"/>
      <c r="BG626" s="126"/>
      <c r="BH626" s="126"/>
      <c r="BI626" s="126"/>
      <c r="BJ626" s="126"/>
      <c r="BK626" s="126"/>
      <c r="BL626" s="126"/>
      <c r="BM626" s="126"/>
      <c r="BN626" s="126"/>
      <c r="BO626" s="126"/>
      <c r="BP626" s="126"/>
      <c r="BQ626" s="126"/>
      <c r="BR626" s="126"/>
      <c r="BS626" s="126"/>
      <c r="BT626" s="126"/>
      <c r="BU626" s="126"/>
      <c r="BV626" s="126"/>
      <c r="BW626" s="126"/>
      <c r="BX626" s="126"/>
      <c r="BY626" s="126"/>
      <c r="BZ626" s="126"/>
      <c r="CA626" s="126"/>
      <c r="CB626" s="126"/>
      <c r="CC626" s="126"/>
      <c r="CD626" s="126"/>
      <c r="CE626" s="126"/>
      <c r="CF626" s="126"/>
      <c r="CG626" s="126"/>
      <c r="CH626" s="126"/>
      <c r="CI626" s="126"/>
      <c r="CJ626" s="126"/>
      <c r="CK626" s="126"/>
    </row>
    <row r="627" spans="1:89" ht="9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  <c r="BD627" s="126"/>
      <c r="BE627" s="126"/>
      <c r="BF627" s="126"/>
      <c r="BG627" s="126"/>
      <c r="BH627" s="126"/>
      <c r="BI627" s="126"/>
      <c r="BJ627" s="126"/>
      <c r="BK627" s="126"/>
      <c r="BL627" s="126"/>
      <c r="BM627" s="126"/>
      <c r="BN627" s="126"/>
      <c r="BO627" s="126"/>
      <c r="BP627" s="126"/>
      <c r="BQ627" s="126"/>
      <c r="BR627" s="126"/>
      <c r="BS627" s="126"/>
      <c r="BT627" s="126"/>
      <c r="BU627" s="126"/>
      <c r="BV627" s="126"/>
      <c r="BW627" s="126"/>
      <c r="BX627" s="126"/>
      <c r="BY627" s="126"/>
      <c r="BZ627" s="126"/>
      <c r="CA627" s="126"/>
      <c r="CB627" s="126"/>
      <c r="CC627" s="126"/>
      <c r="CD627" s="126"/>
      <c r="CE627" s="126"/>
      <c r="CF627" s="126"/>
      <c r="CG627" s="126"/>
      <c r="CH627" s="126"/>
      <c r="CI627" s="126"/>
      <c r="CJ627" s="126"/>
      <c r="CK627" s="126"/>
    </row>
    <row r="628" spans="1:89" ht="9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  <c r="BD628" s="126"/>
      <c r="BE628" s="126"/>
      <c r="BF628" s="126"/>
      <c r="BG628" s="126"/>
      <c r="BH628" s="126"/>
      <c r="BI628" s="126"/>
      <c r="BJ628" s="126"/>
      <c r="BK628" s="126"/>
      <c r="BL628" s="126"/>
      <c r="BM628" s="126"/>
      <c r="BN628" s="126"/>
      <c r="BO628" s="126"/>
      <c r="BP628" s="126"/>
      <c r="BQ628" s="126"/>
      <c r="BR628" s="126"/>
      <c r="BS628" s="126"/>
      <c r="BT628" s="126"/>
      <c r="BU628" s="126"/>
      <c r="BV628" s="126"/>
      <c r="BW628" s="126"/>
      <c r="BX628" s="126"/>
      <c r="BY628" s="126"/>
      <c r="BZ628" s="126"/>
      <c r="CA628" s="126"/>
      <c r="CB628" s="126"/>
      <c r="CC628" s="126"/>
      <c r="CD628" s="126"/>
      <c r="CE628" s="126"/>
      <c r="CF628" s="126"/>
      <c r="CG628" s="126"/>
      <c r="CH628" s="126"/>
      <c r="CI628" s="126"/>
      <c r="CJ628" s="126"/>
      <c r="CK628" s="126"/>
    </row>
    <row r="629" spans="1:89" ht="9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  <c r="BD629" s="126"/>
      <c r="BE629" s="126"/>
      <c r="BF629" s="126"/>
      <c r="BG629" s="126"/>
      <c r="BH629" s="126"/>
      <c r="BI629" s="126"/>
      <c r="BJ629" s="126"/>
      <c r="BK629" s="126"/>
      <c r="BL629" s="126"/>
      <c r="BM629" s="126"/>
      <c r="BN629" s="126"/>
      <c r="BO629" s="126"/>
      <c r="BP629" s="126"/>
      <c r="BQ629" s="126"/>
      <c r="BR629" s="126"/>
      <c r="BS629" s="126"/>
      <c r="BT629" s="126"/>
      <c r="BU629" s="126"/>
      <c r="BV629" s="126"/>
      <c r="BW629" s="126"/>
      <c r="BX629" s="126"/>
      <c r="BY629" s="126"/>
      <c r="BZ629" s="126"/>
      <c r="CA629" s="126"/>
      <c r="CB629" s="126"/>
      <c r="CC629" s="126"/>
      <c r="CD629" s="126"/>
      <c r="CE629" s="126"/>
      <c r="CF629" s="126"/>
      <c r="CG629" s="126"/>
      <c r="CH629" s="126"/>
      <c r="CI629" s="126"/>
      <c r="CJ629" s="126"/>
      <c r="CK629" s="126"/>
    </row>
    <row r="630" spans="1:89" ht="9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  <c r="BD630" s="126"/>
      <c r="BE630" s="126"/>
      <c r="BF630" s="126"/>
      <c r="BG630" s="126"/>
      <c r="BH630" s="126"/>
      <c r="BI630" s="126"/>
      <c r="BJ630" s="126"/>
      <c r="BK630" s="126"/>
      <c r="BL630" s="126"/>
      <c r="BM630" s="126"/>
      <c r="BN630" s="126"/>
      <c r="BO630" s="126"/>
      <c r="BP630" s="126"/>
      <c r="BQ630" s="126"/>
      <c r="BR630" s="126"/>
      <c r="BS630" s="126"/>
      <c r="BT630" s="126"/>
      <c r="BU630" s="126"/>
      <c r="BV630" s="126"/>
      <c r="BW630" s="126"/>
      <c r="BX630" s="126"/>
      <c r="BY630" s="126"/>
      <c r="BZ630" s="126"/>
      <c r="CA630" s="126"/>
      <c r="CB630" s="126"/>
      <c r="CC630" s="126"/>
      <c r="CD630" s="126"/>
      <c r="CE630" s="126"/>
      <c r="CF630" s="126"/>
      <c r="CG630" s="126"/>
      <c r="CH630" s="126"/>
      <c r="CI630" s="126"/>
      <c r="CJ630" s="126"/>
      <c r="CK630" s="126"/>
    </row>
    <row r="631" spans="1:89" ht="9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  <c r="BD631" s="126"/>
      <c r="BE631" s="126"/>
      <c r="BF631" s="126"/>
      <c r="BG631" s="126"/>
      <c r="BH631" s="126"/>
      <c r="BI631" s="126"/>
      <c r="BJ631" s="126"/>
      <c r="BK631" s="126"/>
      <c r="BL631" s="126"/>
      <c r="BM631" s="126"/>
      <c r="BN631" s="126"/>
      <c r="BO631" s="126"/>
      <c r="BP631" s="126"/>
      <c r="BQ631" s="126"/>
      <c r="BR631" s="126"/>
      <c r="BS631" s="126"/>
      <c r="BT631" s="126"/>
      <c r="BU631" s="126"/>
      <c r="BV631" s="126"/>
      <c r="BW631" s="126"/>
      <c r="BX631" s="126"/>
      <c r="BY631" s="126"/>
      <c r="BZ631" s="126"/>
      <c r="CA631" s="126"/>
      <c r="CB631" s="126"/>
      <c r="CC631" s="126"/>
      <c r="CD631" s="126"/>
      <c r="CE631" s="126"/>
      <c r="CF631" s="126"/>
      <c r="CG631" s="126"/>
      <c r="CH631" s="126"/>
      <c r="CI631" s="126"/>
      <c r="CJ631" s="126"/>
      <c r="CK631" s="126"/>
    </row>
    <row r="632" spans="1:89" ht="9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  <c r="BD632" s="126"/>
      <c r="BE632" s="126"/>
      <c r="BF632" s="126"/>
      <c r="BG632" s="126"/>
      <c r="BH632" s="126"/>
      <c r="BI632" s="126"/>
      <c r="BJ632" s="126"/>
      <c r="BK632" s="126"/>
      <c r="BL632" s="126"/>
      <c r="BM632" s="126"/>
      <c r="BN632" s="126"/>
      <c r="BO632" s="126"/>
      <c r="BP632" s="126"/>
      <c r="BQ632" s="126"/>
      <c r="BR632" s="126"/>
      <c r="BS632" s="126"/>
      <c r="BT632" s="126"/>
      <c r="BU632" s="126"/>
      <c r="BV632" s="126"/>
      <c r="BW632" s="126"/>
      <c r="BX632" s="126"/>
      <c r="BY632" s="126"/>
      <c r="BZ632" s="126"/>
      <c r="CA632" s="126"/>
      <c r="CB632" s="126"/>
      <c r="CC632" s="126"/>
      <c r="CD632" s="126"/>
      <c r="CE632" s="126"/>
      <c r="CF632" s="126"/>
      <c r="CG632" s="126"/>
      <c r="CH632" s="126"/>
      <c r="CI632" s="126"/>
      <c r="CJ632" s="126"/>
      <c r="CK632" s="126"/>
    </row>
    <row r="633" spans="1:89" ht="9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  <c r="BD633" s="126"/>
      <c r="BE633" s="126"/>
      <c r="BF633" s="126"/>
      <c r="BG633" s="126"/>
      <c r="BH633" s="126"/>
      <c r="BI633" s="126"/>
      <c r="BJ633" s="126"/>
      <c r="BK633" s="126"/>
      <c r="BL633" s="126"/>
      <c r="BM633" s="126"/>
      <c r="BN633" s="126"/>
      <c r="BO633" s="126"/>
      <c r="BP633" s="126"/>
      <c r="BQ633" s="126"/>
      <c r="BR633" s="126"/>
      <c r="BS633" s="126"/>
      <c r="BT633" s="126"/>
      <c r="BU633" s="126"/>
      <c r="BV633" s="126"/>
      <c r="BW633" s="126"/>
      <c r="BX633" s="126"/>
      <c r="BY633" s="126"/>
      <c r="BZ633" s="126"/>
      <c r="CA633" s="126"/>
      <c r="CB633" s="126"/>
      <c r="CC633" s="126"/>
      <c r="CD633" s="126"/>
      <c r="CE633" s="126"/>
      <c r="CF633" s="126"/>
      <c r="CG633" s="126"/>
      <c r="CH633" s="126"/>
      <c r="CI633" s="126"/>
      <c r="CJ633" s="126"/>
      <c r="CK633" s="126"/>
    </row>
    <row r="634" spans="1:89" ht="9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  <c r="BD634" s="126"/>
      <c r="BE634" s="126"/>
      <c r="BF634" s="126"/>
      <c r="BG634" s="126"/>
      <c r="BH634" s="126"/>
      <c r="BI634" s="126"/>
      <c r="BJ634" s="126"/>
      <c r="BK634" s="126"/>
      <c r="BL634" s="126"/>
      <c r="BM634" s="126"/>
      <c r="BN634" s="126"/>
      <c r="BO634" s="126"/>
      <c r="BP634" s="126"/>
      <c r="BQ634" s="126"/>
      <c r="BR634" s="126"/>
      <c r="BS634" s="126"/>
      <c r="BT634" s="126"/>
      <c r="BU634" s="126"/>
      <c r="BV634" s="126"/>
      <c r="BW634" s="126"/>
      <c r="BX634" s="126"/>
      <c r="BY634" s="126"/>
      <c r="BZ634" s="126"/>
      <c r="CA634" s="126"/>
      <c r="CB634" s="126"/>
      <c r="CC634" s="126"/>
      <c r="CD634" s="126"/>
      <c r="CE634" s="126"/>
      <c r="CF634" s="126"/>
      <c r="CG634" s="126"/>
      <c r="CH634" s="126"/>
      <c r="CI634" s="126"/>
      <c r="CJ634" s="126"/>
      <c r="CK634" s="126"/>
    </row>
    <row r="635" spans="1:89" ht="9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  <c r="BD635" s="126"/>
      <c r="BE635" s="126"/>
      <c r="BF635" s="126"/>
      <c r="BG635" s="126"/>
      <c r="BH635" s="126"/>
      <c r="BI635" s="126"/>
      <c r="BJ635" s="126"/>
      <c r="BK635" s="126"/>
      <c r="BL635" s="126"/>
      <c r="BM635" s="126"/>
      <c r="BN635" s="126"/>
      <c r="BO635" s="126"/>
      <c r="BP635" s="126"/>
      <c r="BQ635" s="126"/>
      <c r="BR635" s="126"/>
      <c r="BS635" s="126"/>
      <c r="BT635" s="126"/>
      <c r="BU635" s="126"/>
      <c r="BV635" s="126"/>
      <c r="BW635" s="126"/>
      <c r="BX635" s="126"/>
      <c r="BY635" s="126"/>
      <c r="BZ635" s="126"/>
      <c r="CA635" s="126"/>
      <c r="CB635" s="126"/>
      <c r="CC635" s="126"/>
      <c r="CD635" s="126"/>
      <c r="CE635" s="126"/>
      <c r="CF635" s="126"/>
      <c r="CG635" s="126"/>
      <c r="CH635" s="126"/>
      <c r="CI635" s="126"/>
      <c r="CJ635" s="126"/>
      <c r="CK635" s="126"/>
    </row>
    <row r="636" spans="1:89" ht="9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  <c r="BD636" s="126"/>
      <c r="BE636" s="126"/>
      <c r="BF636" s="126"/>
      <c r="BG636" s="126"/>
      <c r="BH636" s="126"/>
      <c r="BI636" s="126"/>
      <c r="BJ636" s="126"/>
      <c r="BK636" s="126"/>
      <c r="BL636" s="126"/>
      <c r="BM636" s="126"/>
      <c r="BN636" s="126"/>
      <c r="BO636" s="126"/>
      <c r="BP636" s="126"/>
      <c r="BQ636" s="126"/>
      <c r="BR636" s="126"/>
      <c r="BS636" s="126"/>
      <c r="BT636" s="126"/>
      <c r="BU636" s="126"/>
      <c r="BV636" s="126"/>
      <c r="BW636" s="126"/>
      <c r="BX636" s="126"/>
      <c r="BY636" s="126"/>
      <c r="BZ636" s="126"/>
      <c r="CA636" s="126"/>
      <c r="CB636" s="126"/>
      <c r="CC636" s="126"/>
      <c r="CD636" s="126"/>
      <c r="CE636" s="126"/>
      <c r="CF636" s="126"/>
      <c r="CG636" s="126"/>
      <c r="CH636" s="126"/>
      <c r="CI636" s="126"/>
      <c r="CJ636" s="126"/>
      <c r="CK636" s="126"/>
    </row>
    <row r="637" spans="1:89" ht="9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  <c r="BD637" s="126"/>
      <c r="BE637" s="126"/>
      <c r="BF637" s="126"/>
      <c r="BG637" s="126"/>
      <c r="BH637" s="126"/>
      <c r="BI637" s="126"/>
      <c r="BJ637" s="126"/>
      <c r="BK637" s="126"/>
      <c r="BL637" s="126"/>
      <c r="BM637" s="126"/>
      <c r="BN637" s="126"/>
      <c r="BO637" s="126"/>
      <c r="BP637" s="126"/>
      <c r="BQ637" s="126"/>
      <c r="BR637" s="126"/>
      <c r="BS637" s="126"/>
      <c r="BT637" s="126"/>
      <c r="BU637" s="126"/>
      <c r="BV637" s="126"/>
      <c r="BW637" s="126"/>
      <c r="BX637" s="126"/>
      <c r="BY637" s="126"/>
      <c r="BZ637" s="126"/>
      <c r="CA637" s="126"/>
      <c r="CB637" s="126"/>
      <c r="CC637" s="126"/>
      <c r="CD637" s="126"/>
      <c r="CE637" s="126"/>
      <c r="CF637" s="126"/>
      <c r="CG637" s="126"/>
      <c r="CH637" s="126"/>
      <c r="CI637" s="126"/>
      <c r="CJ637" s="126"/>
      <c r="CK637" s="126"/>
    </row>
    <row r="638" spans="1:89" ht="9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  <c r="BD638" s="126"/>
      <c r="BE638" s="126"/>
      <c r="BF638" s="126"/>
      <c r="BG638" s="126"/>
      <c r="BH638" s="126"/>
      <c r="BI638" s="126"/>
      <c r="BJ638" s="126"/>
      <c r="BK638" s="126"/>
      <c r="BL638" s="126"/>
      <c r="BM638" s="126"/>
      <c r="BN638" s="126"/>
      <c r="BO638" s="126"/>
      <c r="BP638" s="126"/>
      <c r="BQ638" s="126"/>
      <c r="BR638" s="126"/>
      <c r="BS638" s="126"/>
      <c r="BT638" s="126"/>
      <c r="BU638" s="126"/>
      <c r="BV638" s="126"/>
      <c r="BW638" s="126"/>
      <c r="BX638" s="126"/>
      <c r="BY638" s="126"/>
      <c r="BZ638" s="126"/>
      <c r="CA638" s="126"/>
      <c r="CB638" s="126"/>
      <c r="CC638" s="126"/>
      <c r="CD638" s="126"/>
      <c r="CE638" s="126"/>
      <c r="CF638" s="126"/>
      <c r="CG638" s="126"/>
      <c r="CH638" s="126"/>
      <c r="CI638" s="126"/>
      <c r="CJ638" s="126"/>
      <c r="CK638" s="126"/>
    </row>
    <row r="639" spans="1:89" ht="9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  <c r="BD639" s="126"/>
      <c r="BE639" s="126"/>
      <c r="BF639" s="126"/>
      <c r="BG639" s="126"/>
      <c r="BH639" s="126"/>
      <c r="BI639" s="126"/>
      <c r="BJ639" s="126"/>
      <c r="BK639" s="126"/>
      <c r="BL639" s="126"/>
      <c r="BM639" s="126"/>
      <c r="BN639" s="126"/>
      <c r="BO639" s="126"/>
      <c r="BP639" s="126"/>
      <c r="BQ639" s="126"/>
      <c r="BR639" s="126"/>
      <c r="BS639" s="126"/>
      <c r="BT639" s="126"/>
      <c r="BU639" s="126"/>
      <c r="BV639" s="126"/>
      <c r="BW639" s="126"/>
      <c r="BX639" s="126"/>
      <c r="BY639" s="126"/>
      <c r="BZ639" s="126"/>
      <c r="CA639" s="126"/>
      <c r="CB639" s="126"/>
      <c r="CC639" s="126"/>
      <c r="CD639" s="126"/>
      <c r="CE639" s="126"/>
      <c r="CF639" s="126"/>
      <c r="CG639" s="126"/>
      <c r="CH639" s="126"/>
      <c r="CI639" s="126"/>
      <c r="CJ639" s="126"/>
      <c r="CK639" s="126"/>
    </row>
    <row r="640" spans="1:89" ht="9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  <c r="BD640" s="126"/>
      <c r="BE640" s="126"/>
      <c r="BF640" s="126"/>
      <c r="BG640" s="126"/>
      <c r="BH640" s="126"/>
      <c r="BI640" s="126"/>
      <c r="BJ640" s="126"/>
      <c r="BK640" s="126"/>
      <c r="BL640" s="126"/>
      <c r="BM640" s="126"/>
      <c r="BN640" s="126"/>
      <c r="BO640" s="126"/>
      <c r="BP640" s="126"/>
      <c r="BQ640" s="126"/>
      <c r="BR640" s="126"/>
      <c r="BS640" s="126"/>
      <c r="BT640" s="126"/>
      <c r="BU640" s="126"/>
      <c r="BV640" s="126"/>
      <c r="BW640" s="126"/>
      <c r="BX640" s="126"/>
      <c r="BY640" s="126"/>
      <c r="BZ640" s="126"/>
      <c r="CA640" s="126"/>
      <c r="CB640" s="126"/>
      <c r="CC640" s="126"/>
      <c r="CD640" s="126"/>
      <c r="CE640" s="126"/>
      <c r="CF640" s="126"/>
      <c r="CG640" s="126"/>
      <c r="CH640" s="126"/>
      <c r="CI640" s="126"/>
      <c r="CJ640" s="126"/>
      <c r="CK640" s="126"/>
    </row>
    <row r="641" spans="1:89" ht="9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  <c r="BD641" s="126"/>
      <c r="BE641" s="126"/>
      <c r="BF641" s="126"/>
      <c r="BG641" s="126"/>
      <c r="BH641" s="126"/>
      <c r="BI641" s="126"/>
      <c r="BJ641" s="126"/>
      <c r="BK641" s="126"/>
      <c r="BL641" s="126"/>
      <c r="BM641" s="126"/>
      <c r="BN641" s="126"/>
      <c r="BO641" s="126"/>
      <c r="BP641" s="126"/>
      <c r="BQ641" s="126"/>
      <c r="BR641" s="126"/>
      <c r="BS641" s="126"/>
      <c r="BT641" s="126"/>
      <c r="BU641" s="126"/>
      <c r="BV641" s="126"/>
      <c r="BW641" s="126"/>
      <c r="BX641" s="126"/>
      <c r="BY641" s="126"/>
      <c r="BZ641" s="126"/>
      <c r="CA641" s="126"/>
      <c r="CB641" s="126"/>
      <c r="CC641" s="126"/>
      <c r="CD641" s="126"/>
      <c r="CE641" s="126"/>
      <c r="CF641" s="126"/>
      <c r="CG641" s="126"/>
      <c r="CH641" s="126"/>
      <c r="CI641" s="126"/>
      <c r="CJ641" s="126"/>
      <c r="CK641" s="126"/>
    </row>
    <row r="642" spans="1:89" ht="9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  <c r="BD642" s="126"/>
      <c r="BE642" s="126"/>
      <c r="BF642" s="126"/>
      <c r="BG642" s="126"/>
      <c r="BH642" s="126"/>
      <c r="BI642" s="126"/>
      <c r="BJ642" s="126"/>
      <c r="BK642" s="126"/>
      <c r="BL642" s="126"/>
      <c r="BM642" s="126"/>
      <c r="BN642" s="126"/>
      <c r="BO642" s="126"/>
      <c r="BP642" s="126"/>
      <c r="BQ642" s="126"/>
      <c r="BR642" s="126"/>
      <c r="BS642" s="126"/>
      <c r="BT642" s="126"/>
      <c r="BU642" s="126"/>
      <c r="BV642" s="126"/>
      <c r="BW642" s="126"/>
      <c r="BX642" s="126"/>
      <c r="BY642" s="126"/>
      <c r="BZ642" s="126"/>
      <c r="CA642" s="126"/>
      <c r="CB642" s="126"/>
      <c r="CC642" s="126"/>
      <c r="CD642" s="126"/>
      <c r="CE642" s="126"/>
      <c r="CF642" s="126"/>
      <c r="CG642" s="126"/>
      <c r="CH642" s="126"/>
      <c r="CI642" s="126"/>
      <c r="CJ642" s="126"/>
      <c r="CK642" s="126"/>
    </row>
    <row r="643" spans="1:89" ht="9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  <c r="BD643" s="126"/>
      <c r="BE643" s="126"/>
      <c r="BF643" s="126"/>
      <c r="BG643" s="126"/>
      <c r="BH643" s="126"/>
      <c r="BI643" s="126"/>
      <c r="BJ643" s="126"/>
      <c r="BK643" s="126"/>
      <c r="BL643" s="126"/>
      <c r="BM643" s="126"/>
      <c r="BN643" s="126"/>
      <c r="BO643" s="126"/>
      <c r="BP643" s="126"/>
      <c r="BQ643" s="126"/>
      <c r="BR643" s="126"/>
      <c r="BS643" s="126"/>
      <c r="BT643" s="126"/>
      <c r="BU643" s="126"/>
      <c r="BV643" s="126"/>
      <c r="BW643" s="126"/>
      <c r="BX643" s="126"/>
      <c r="BY643" s="126"/>
      <c r="BZ643" s="126"/>
      <c r="CA643" s="126"/>
      <c r="CB643" s="126"/>
      <c r="CC643" s="126"/>
      <c r="CD643" s="126"/>
      <c r="CE643" s="126"/>
      <c r="CF643" s="126"/>
      <c r="CG643" s="126"/>
      <c r="CH643" s="126"/>
      <c r="CI643" s="126"/>
      <c r="CJ643" s="126"/>
      <c r="CK643" s="126"/>
    </row>
    <row r="644" spans="1:89" ht="9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  <c r="BD644" s="126"/>
      <c r="BE644" s="126"/>
      <c r="BF644" s="126"/>
      <c r="BG644" s="126"/>
      <c r="BH644" s="126"/>
      <c r="BI644" s="126"/>
      <c r="BJ644" s="126"/>
      <c r="BK644" s="126"/>
      <c r="BL644" s="126"/>
      <c r="BM644" s="126"/>
      <c r="BN644" s="126"/>
      <c r="BO644" s="126"/>
      <c r="BP644" s="126"/>
      <c r="BQ644" s="126"/>
      <c r="BR644" s="126"/>
      <c r="BS644" s="126"/>
      <c r="BT644" s="126"/>
      <c r="BU644" s="126"/>
      <c r="BV644" s="126"/>
      <c r="BW644" s="126"/>
      <c r="BX644" s="126"/>
      <c r="BY644" s="126"/>
      <c r="BZ644" s="126"/>
      <c r="CA644" s="126"/>
      <c r="CB644" s="126"/>
      <c r="CC644" s="126"/>
      <c r="CD644" s="126"/>
      <c r="CE644" s="126"/>
      <c r="CF644" s="126"/>
      <c r="CG644" s="126"/>
      <c r="CH644" s="126"/>
      <c r="CI644" s="126"/>
      <c r="CJ644" s="126"/>
      <c r="CK644" s="126"/>
    </row>
    <row r="645" spans="1:89" ht="9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  <c r="BD645" s="126"/>
      <c r="BE645" s="126"/>
      <c r="BF645" s="126"/>
      <c r="BG645" s="126"/>
      <c r="BH645" s="126"/>
      <c r="BI645" s="126"/>
      <c r="BJ645" s="126"/>
      <c r="BK645" s="126"/>
      <c r="BL645" s="126"/>
      <c r="BM645" s="126"/>
      <c r="BN645" s="126"/>
      <c r="BO645" s="126"/>
      <c r="BP645" s="126"/>
      <c r="BQ645" s="126"/>
      <c r="BR645" s="126"/>
      <c r="BS645" s="126"/>
      <c r="BT645" s="126"/>
      <c r="BU645" s="126"/>
      <c r="BV645" s="126"/>
      <c r="BW645" s="126"/>
      <c r="BX645" s="126"/>
      <c r="BY645" s="126"/>
      <c r="BZ645" s="126"/>
      <c r="CA645" s="126"/>
      <c r="CB645" s="126"/>
      <c r="CC645" s="126"/>
      <c r="CD645" s="126"/>
      <c r="CE645" s="126"/>
      <c r="CF645" s="126"/>
      <c r="CG645" s="126"/>
      <c r="CH645" s="126"/>
      <c r="CI645" s="126"/>
      <c r="CJ645" s="126"/>
      <c r="CK645" s="126"/>
    </row>
    <row r="646" spans="1:89" ht="9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  <c r="BD646" s="126"/>
      <c r="BE646" s="126"/>
      <c r="BF646" s="126"/>
      <c r="BG646" s="126"/>
      <c r="BH646" s="126"/>
      <c r="BI646" s="126"/>
      <c r="BJ646" s="126"/>
      <c r="BK646" s="126"/>
      <c r="BL646" s="126"/>
      <c r="BM646" s="126"/>
      <c r="BN646" s="126"/>
      <c r="BO646" s="126"/>
      <c r="BP646" s="126"/>
      <c r="BQ646" s="126"/>
      <c r="BR646" s="126"/>
      <c r="BS646" s="126"/>
      <c r="BT646" s="126"/>
      <c r="BU646" s="126"/>
      <c r="BV646" s="126"/>
      <c r="BW646" s="126"/>
      <c r="BX646" s="126"/>
      <c r="BY646" s="126"/>
      <c r="BZ646" s="126"/>
      <c r="CA646" s="126"/>
      <c r="CB646" s="126"/>
      <c r="CC646" s="126"/>
      <c r="CD646" s="126"/>
      <c r="CE646" s="126"/>
      <c r="CF646" s="126"/>
      <c r="CG646" s="126"/>
      <c r="CH646" s="126"/>
      <c r="CI646" s="126"/>
      <c r="CJ646" s="126"/>
      <c r="CK646" s="126"/>
    </row>
    <row r="647" spans="1:89" ht="9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  <c r="BD647" s="126"/>
      <c r="BE647" s="126"/>
      <c r="BF647" s="126"/>
      <c r="BG647" s="126"/>
      <c r="BH647" s="126"/>
      <c r="BI647" s="126"/>
      <c r="BJ647" s="126"/>
      <c r="BK647" s="126"/>
      <c r="BL647" s="126"/>
      <c r="BM647" s="126"/>
      <c r="BN647" s="126"/>
      <c r="BO647" s="126"/>
      <c r="BP647" s="126"/>
      <c r="BQ647" s="126"/>
      <c r="BR647" s="126"/>
      <c r="BS647" s="126"/>
      <c r="BT647" s="126"/>
      <c r="BU647" s="126"/>
      <c r="BV647" s="126"/>
      <c r="BW647" s="126"/>
      <c r="BX647" s="126"/>
      <c r="BY647" s="126"/>
      <c r="BZ647" s="126"/>
      <c r="CA647" s="126"/>
      <c r="CB647" s="126"/>
      <c r="CC647" s="126"/>
      <c r="CD647" s="126"/>
      <c r="CE647" s="126"/>
      <c r="CF647" s="126"/>
      <c r="CG647" s="126"/>
      <c r="CH647" s="126"/>
      <c r="CI647" s="126"/>
      <c r="CJ647" s="126"/>
      <c r="CK647" s="126"/>
    </row>
    <row r="648" spans="1:89" ht="9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  <c r="BD648" s="126"/>
      <c r="BE648" s="126"/>
      <c r="BF648" s="126"/>
      <c r="BG648" s="126"/>
      <c r="BH648" s="126"/>
      <c r="BI648" s="126"/>
      <c r="BJ648" s="126"/>
      <c r="BK648" s="126"/>
      <c r="BL648" s="126"/>
      <c r="BM648" s="126"/>
      <c r="BN648" s="126"/>
      <c r="BO648" s="126"/>
      <c r="BP648" s="126"/>
      <c r="BQ648" s="126"/>
      <c r="BR648" s="126"/>
      <c r="BS648" s="126"/>
      <c r="BT648" s="126"/>
      <c r="BU648" s="126"/>
      <c r="BV648" s="126"/>
      <c r="BW648" s="126"/>
      <c r="BX648" s="126"/>
      <c r="BY648" s="126"/>
      <c r="BZ648" s="126"/>
      <c r="CA648" s="126"/>
      <c r="CB648" s="126"/>
      <c r="CC648" s="126"/>
      <c r="CD648" s="126"/>
      <c r="CE648" s="126"/>
      <c r="CF648" s="126"/>
      <c r="CG648" s="126"/>
      <c r="CH648" s="126"/>
      <c r="CI648" s="126"/>
      <c r="CJ648" s="126"/>
      <c r="CK648" s="126"/>
    </row>
    <row r="649" spans="1:89" ht="9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  <c r="BD649" s="126"/>
      <c r="BE649" s="126"/>
      <c r="BF649" s="126"/>
      <c r="BG649" s="126"/>
      <c r="BH649" s="126"/>
      <c r="BI649" s="126"/>
      <c r="BJ649" s="126"/>
      <c r="BK649" s="126"/>
      <c r="BL649" s="126"/>
      <c r="BM649" s="126"/>
      <c r="BN649" s="126"/>
      <c r="BO649" s="126"/>
      <c r="BP649" s="126"/>
      <c r="BQ649" s="126"/>
      <c r="BR649" s="126"/>
      <c r="BS649" s="126"/>
      <c r="BT649" s="126"/>
      <c r="BU649" s="126"/>
      <c r="BV649" s="126"/>
      <c r="BW649" s="126"/>
      <c r="BX649" s="126"/>
      <c r="BY649" s="126"/>
      <c r="BZ649" s="126"/>
      <c r="CA649" s="126"/>
      <c r="CB649" s="126"/>
      <c r="CC649" s="126"/>
      <c r="CD649" s="126"/>
      <c r="CE649" s="126"/>
      <c r="CF649" s="126"/>
      <c r="CG649" s="126"/>
      <c r="CH649" s="126"/>
      <c r="CI649" s="126"/>
      <c r="CJ649" s="126"/>
      <c r="CK649" s="126"/>
    </row>
    <row r="650" spans="1:89" ht="9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  <c r="BD650" s="126"/>
      <c r="BE650" s="126"/>
      <c r="BF650" s="126"/>
      <c r="BG650" s="126"/>
      <c r="BH650" s="126"/>
      <c r="BI650" s="126"/>
      <c r="BJ650" s="126"/>
      <c r="BK650" s="126"/>
      <c r="BL650" s="126"/>
      <c r="BM650" s="126"/>
      <c r="BN650" s="126"/>
      <c r="BO650" s="126"/>
      <c r="BP650" s="126"/>
      <c r="BQ650" s="126"/>
      <c r="BR650" s="126"/>
      <c r="BS650" s="126"/>
      <c r="BT650" s="126"/>
      <c r="BU650" s="126"/>
      <c r="BV650" s="126"/>
      <c r="BW650" s="126"/>
      <c r="BX650" s="126"/>
      <c r="BY650" s="126"/>
      <c r="BZ650" s="126"/>
      <c r="CA650" s="126"/>
      <c r="CB650" s="126"/>
      <c r="CC650" s="126"/>
      <c r="CD650" s="126"/>
      <c r="CE650" s="126"/>
      <c r="CF650" s="126"/>
      <c r="CG650" s="126"/>
      <c r="CH650" s="126"/>
      <c r="CI650" s="126"/>
      <c r="CJ650" s="126"/>
      <c r="CK650" s="126"/>
    </row>
    <row r="651" spans="1:89" ht="9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  <c r="BD651" s="126"/>
      <c r="BE651" s="126"/>
      <c r="BF651" s="126"/>
      <c r="BG651" s="126"/>
      <c r="BH651" s="126"/>
      <c r="BI651" s="126"/>
      <c r="BJ651" s="126"/>
      <c r="BK651" s="126"/>
      <c r="BL651" s="126"/>
      <c r="BM651" s="126"/>
      <c r="BN651" s="126"/>
      <c r="BO651" s="126"/>
      <c r="BP651" s="126"/>
      <c r="BQ651" s="126"/>
      <c r="BR651" s="126"/>
      <c r="BS651" s="126"/>
      <c r="BT651" s="126"/>
      <c r="BU651" s="126"/>
      <c r="BV651" s="126"/>
      <c r="BW651" s="126"/>
      <c r="BX651" s="126"/>
      <c r="BY651" s="126"/>
      <c r="BZ651" s="126"/>
      <c r="CA651" s="126"/>
      <c r="CB651" s="126"/>
      <c r="CC651" s="126"/>
      <c r="CD651" s="126"/>
      <c r="CE651" s="126"/>
      <c r="CF651" s="126"/>
      <c r="CG651" s="126"/>
      <c r="CH651" s="126"/>
      <c r="CI651" s="126"/>
      <c r="CJ651" s="126"/>
      <c r="CK651" s="126"/>
    </row>
    <row r="652" spans="1:89" ht="9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  <c r="BD652" s="126"/>
      <c r="BE652" s="126"/>
      <c r="BF652" s="126"/>
      <c r="BG652" s="126"/>
      <c r="BH652" s="126"/>
      <c r="BI652" s="126"/>
      <c r="BJ652" s="126"/>
      <c r="BK652" s="126"/>
      <c r="BL652" s="126"/>
      <c r="BM652" s="126"/>
      <c r="BN652" s="126"/>
      <c r="BO652" s="126"/>
      <c r="BP652" s="126"/>
      <c r="BQ652" s="126"/>
      <c r="BR652" s="126"/>
      <c r="BS652" s="126"/>
      <c r="BT652" s="126"/>
      <c r="BU652" s="126"/>
      <c r="BV652" s="126"/>
      <c r="BW652" s="126"/>
      <c r="BX652" s="126"/>
      <c r="BY652" s="126"/>
      <c r="BZ652" s="126"/>
      <c r="CA652" s="126"/>
      <c r="CB652" s="126"/>
      <c r="CC652" s="126"/>
      <c r="CD652" s="126"/>
      <c r="CE652" s="126"/>
      <c r="CF652" s="126"/>
      <c r="CG652" s="126"/>
      <c r="CH652" s="126"/>
      <c r="CI652" s="126"/>
      <c r="CJ652" s="126"/>
      <c r="CK652" s="126"/>
    </row>
    <row r="653" spans="1:89" ht="9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  <c r="BD653" s="126"/>
      <c r="BE653" s="126"/>
      <c r="BF653" s="126"/>
      <c r="BG653" s="126"/>
      <c r="BH653" s="126"/>
      <c r="BI653" s="126"/>
      <c r="BJ653" s="126"/>
      <c r="BK653" s="126"/>
      <c r="BL653" s="126"/>
      <c r="BM653" s="126"/>
      <c r="BN653" s="126"/>
      <c r="BO653" s="126"/>
      <c r="BP653" s="126"/>
      <c r="BQ653" s="126"/>
      <c r="BR653" s="126"/>
      <c r="BS653" s="126"/>
      <c r="BT653" s="126"/>
      <c r="BU653" s="126"/>
      <c r="BV653" s="126"/>
      <c r="BW653" s="126"/>
      <c r="BX653" s="126"/>
      <c r="BY653" s="126"/>
      <c r="BZ653" s="126"/>
      <c r="CA653" s="126"/>
      <c r="CB653" s="126"/>
      <c r="CC653" s="126"/>
      <c r="CD653" s="126"/>
      <c r="CE653" s="126"/>
      <c r="CF653" s="126"/>
      <c r="CG653" s="126"/>
      <c r="CH653" s="126"/>
      <c r="CI653" s="126"/>
      <c r="CJ653" s="126"/>
      <c r="CK653" s="126"/>
    </row>
    <row r="654" spans="1:89" ht="9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  <c r="BD654" s="126"/>
      <c r="BE654" s="126"/>
      <c r="BF654" s="126"/>
      <c r="BG654" s="126"/>
      <c r="BH654" s="126"/>
      <c r="BI654" s="126"/>
      <c r="BJ654" s="126"/>
      <c r="BK654" s="126"/>
      <c r="BL654" s="126"/>
      <c r="BM654" s="126"/>
      <c r="BN654" s="126"/>
      <c r="BO654" s="126"/>
      <c r="BP654" s="126"/>
      <c r="BQ654" s="126"/>
      <c r="BR654" s="126"/>
      <c r="BS654" s="126"/>
      <c r="BT654" s="126"/>
      <c r="BU654" s="126"/>
      <c r="BV654" s="126"/>
      <c r="BW654" s="126"/>
      <c r="BX654" s="126"/>
      <c r="BY654" s="126"/>
      <c r="BZ654" s="126"/>
      <c r="CA654" s="126"/>
      <c r="CB654" s="126"/>
      <c r="CC654" s="126"/>
      <c r="CD654" s="126"/>
      <c r="CE654" s="126"/>
      <c r="CF654" s="126"/>
      <c r="CG654" s="126"/>
      <c r="CH654" s="126"/>
      <c r="CI654" s="126"/>
      <c r="CJ654" s="126"/>
      <c r="CK654" s="126"/>
    </row>
    <row r="655" spans="1:89" ht="9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  <c r="BD655" s="126"/>
      <c r="BE655" s="126"/>
      <c r="BF655" s="126"/>
      <c r="BG655" s="126"/>
      <c r="BH655" s="126"/>
      <c r="BI655" s="126"/>
      <c r="BJ655" s="126"/>
      <c r="BK655" s="126"/>
      <c r="BL655" s="126"/>
      <c r="BM655" s="126"/>
      <c r="BN655" s="126"/>
      <c r="BO655" s="126"/>
      <c r="BP655" s="126"/>
      <c r="BQ655" s="126"/>
      <c r="BR655" s="126"/>
      <c r="BS655" s="126"/>
      <c r="BT655" s="126"/>
      <c r="BU655" s="126"/>
      <c r="BV655" s="126"/>
      <c r="BW655" s="126"/>
      <c r="BX655" s="126"/>
      <c r="BY655" s="126"/>
      <c r="BZ655" s="126"/>
      <c r="CA655" s="126"/>
      <c r="CB655" s="126"/>
      <c r="CC655" s="126"/>
      <c r="CD655" s="126"/>
      <c r="CE655" s="126"/>
      <c r="CF655" s="126"/>
      <c r="CG655" s="126"/>
      <c r="CH655" s="126"/>
      <c r="CI655" s="126"/>
      <c r="CJ655" s="126"/>
      <c r="CK655" s="126"/>
    </row>
    <row r="656" spans="1:89" ht="9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  <c r="BD656" s="126"/>
      <c r="BE656" s="126"/>
      <c r="BF656" s="126"/>
      <c r="BG656" s="126"/>
      <c r="BH656" s="126"/>
      <c r="BI656" s="126"/>
      <c r="BJ656" s="126"/>
      <c r="BK656" s="126"/>
      <c r="BL656" s="126"/>
      <c r="BM656" s="126"/>
      <c r="BN656" s="126"/>
      <c r="BO656" s="126"/>
      <c r="BP656" s="126"/>
      <c r="BQ656" s="126"/>
      <c r="BR656" s="126"/>
      <c r="BS656" s="126"/>
      <c r="BT656" s="126"/>
      <c r="BU656" s="126"/>
      <c r="BV656" s="126"/>
      <c r="BW656" s="126"/>
      <c r="BX656" s="126"/>
      <c r="BY656" s="126"/>
      <c r="BZ656" s="126"/>
      <c r="CA656" s="126"/>
      <c r="CB656" s="126"/>
      <c r="CC656" s="126"/>
      <c r="CD656" s="126"/>
      <c r="CE656" s="126"/>
      <c r="CF656" s="126"/>
      <c r="CG656" s="126"/>
      <c r="CH656" s="126"/>
      <c r="CI656" s="126"/>
      <c r="CJ656" s="126"/>
      <c r="CK656" s="126"/>
    </row>
    <row r="657" spans="1:89" ht="9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  <c r="BD657" s="126"/>
      <c r="BE657" s="126"/>
      <c r="BF657" s="126"/>
      <c r="BG657" s="126"/>
      <c r="BH657" s="126"/>
      <c r="BI657" s="126"/>
      <c r="BJ657" s="126"/>
      <c r="BK657" s="126"/>
      <c r="BL657" s="126"/>
      <c r="BM657" s="126"/>
      <c r="BN657" s="126"/>
      <c r="BO657" s="126"/>
      <c r="BP657" s="126"/>
      <c r="BQ657" s="126"/>
      <c r="BR657" s="126"/>
      <c r="BS657" s="126"/>
      <c r="BT657" s="126"/>
      <c r="BU657" s="126"/>
      <c r="BV657" s="126"/>
      <c r="BW657" s="126"/>
      <c r="BX657" s="126"/>
      <c r="BY657" s="126"/>
      <c r="BZ657" s="126"/>
      <c r="CA657" s="126"/>
      <c r="CB657" s="126"/>
      <c r="CC657" s="126"/>
      <c r="CD657" s="126"/>
      <c r="CE657" s="126"/>
      <c r="CF657" s="126"/>
      <c r="CG657" s="126"/>
      <c r="CH657" s="126"/>
      <c r="CI657" s="126"/>
      <c r="CJ657" s="126"/>
      <c r="CK657" s="126"/>
    </row>
    <row r="658" spans="1:89" ht="9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  <c r="BD658" s="126"/>
      <c r="BE658" s="126"/>
      <c r="BF658" s="126"/>
      <c r="BG658" s="126"/>
      <c r="BH658" s="126"/>
      <c r="BI658" s="126"/>
      <c r="BJ658" s="126"/>
      <c r="BK658" s="126"/>
      <c r="BL658" s="126"/>
      <c r="BM658" s="126"/>
      <c r="BN658" s="126"/>
      <c r="BO658" s="126"/>
      <c r="BP658" s="126"/>
      <c r="BQ658" s="126"/>
      <c r="BR658" s="126"/>
      <c r="BS658" s="126"/>
      <c r="BT658" s="126"/>
      <c r="BU658" s="126"/>
      <c r="BV658" s="126"/>
      <c r="BW658" s="126"/>
      <c r="BX658" s="126"/>
      <c r="BY658" s="126"/>
      <c r="BZ658" s="126"/>
      <c r="CA658" s="126"/>
      <c r="CB658" s="126"/>
      <c r="CC658" s="126"/>
      <c r="CD658" s="126"/>
      <c r="CE658" s="126"/>
      <c r="CF658" s="126"/>
      <c r="CG658" s="126"/>
      <c r="CH658" s="126"/>
      <c r="CI658" s="126"/>
      <c r="CJ658" s="126"/>
      <c r="CK658" s="126"/>
    </row>
    <row r="659" spans="1:89" ht="9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  <c r="BD659" s="126"/>
      <c r="BE659" s="126"/>
      <c r="BF659" s="126"/>
      <c r="BG659" s="126"/>
      <c r="BH659" s="126"/>
      <c r="BI659" s="126"/>
      <c r="BJ659" s="126"/>
      <c r="BK659" s="126"/>
      <c r="BL659" s="126"/>
      <c r="BM659" s="126"/>
      <c r="BN659" s="126"/>
      <c r="BO659" s="126"/>
      <c r="BP659" s="126"/>
      <c r="BQ659" s="126"/>
      <c r="BR659" s="126"/>
      <c r="BS659" s="126"/>
      <c r="BT659" s="126"/>
      <c r="BU659" s="126"/>
      <c r="BV659" s="126"/>
      <c r="BW659" s="126"/>
      <c r="BX659" s="126"/>
      <c r="BY659" s="126"/>
      <c r="BZ659" s="126"/>
      <c r="CA659" s="126"/>
      <c r="CB659" s="126"/>
      <c r="CC659" s="126"/>
      <c r="CD659" s="126"/>
      <c r="CE659" s="126"/>
      <c r="CF659" s="126"/>
      <c r="CG659" s="126"/>
      <c r="CH659" s="126"/>
      <c r="CI659" s="126"/>
      <c r="CJ659" s="126"/>
      <c r="CK659" s="126"/>
    </row>
    <row r="660" spans="1:89" ht="9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  <c r="BD660" s="126"/>
      <c r="BE660" s="126"/>
      <c r="BF660" s="126"/>
      <c r="BG660" s="126"/>
      <c r="BH660" s="126"/>
      <c r="BI660" s="126"/>
      <c r="BJ660" s="126"/>
      <c r="BK660" s="126"/>
      <c r="BL660" s="126"/>
      <c r="BM660" s="126"/>
      <c r="BN660" s="126"/>
      <c r="BO660" s="126"/>
      <c r="BP660" s="126"/>
      <c r="BQ660" s="126"/>
      <c r="BR660" s="126"/>
      <c r="BS660" s="126"/>
      <c r="BT660" s="126"/>
      <c r="BU660" s="126"/>
      <c r="BV660" s="126"/>
      <c r="BW660" s="126"/>
      <c r="BX660" s="126"/>
      <c r="BY660" s="126"/>
      <c r="BZ660" s="126"/>
      <c r="CA660" s="126"/>
      <c r="CB660" s="126"/>
      <c r="CC660" s="126"/>
      <c r="CD660" s="126"/>
      <c r="CE660" s="126"/>
      <c r="CF660" s="126"/>
      <c r="CG660" s="126"/>
      <c r="CH660" s="126"/>
      <c r="CI660" s="126"/>
      <c r="CJ660" s="126"/>
      <c r="CK660" s="126"/>
    </row>
    <row r="661" spans="1:89" ht="9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  <c r="BD661" s="126"/>
      <c r="BE661" s="126"/>
      <c r="BF661" s="126"/>
      <c r="BG661" s="126"/>
      <c r="BH661" s="126"/>
      <c r="BI661" s="126"/>
      <c r="BJ661" s="126"/>
      <c r="BK661" s="126"/>
      <c r="BL661" s="126"/>
      <c r="BM661" s="126"/>
      <c r="BN661" s="126"/>
      <c r="BO661" s="126"/>
      <c r="BP661" s="126"/>
      <c r="BQ661" s="126"/>
      <c r="BR661" s="126"/>
      <c r="BS661" s="126"/>
      <c r="BT661" s="126"/>
      <c r="BU661" s="126"/>
      <c r="BV661" s="126"/>
      <c r="BW661" s="126"/>
      <c r="BX661" s="126"/>
      <c r="BY661" s="126"/>
      <c r="BZ661" s="126"/>
      <c r="CA661" s="126"/>
      <c r="CB661" s="126"/>
      <c r="CC661" s="126"/>
      <c r="CD661" s="126"/>
      <c r="CE661" s="126"/>
      <c r="CF661" s="126"/>
      <c r="CG661" s="126"/>
      <c r="CH661" s="126"/>
      <c r="CI661" s="126"/>
      <c r="CJ661" s="126"/>
      <c r="CK661" s="126"/>
    </row>
    <row r="662" spans="1:89" ht="9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  <c r="BD662" s="126"/>
      <c r="BE662" s="126"/>
      <c r="BF662" s="126"/>
      <c r="BG662" s="126"/>
      <c r="BH662" s="126"/>
      <c r="BI662" s="126"/>
      <c r="BJ662" s="126"/>
      <c r="BK662" s="126"/>
      <c r="BL662" s="126"/>
      <c r="BM662" s="126"/>
      <c r="BN662" s="126"/>
      <c r="BO662" s="126"/>
      <c r="BP662" s="126"/>
      <c r="BQ662" s="126"/>
      <c r="BR662" s="126"/>
      <c r="BS662" s="126"/>
      <c r="BT662" s="126"/>
      <c r="BU662" s="126"/>
      <c r="BV662" s="126"/>
      <c r="BW662" s="126"/>
      <c r="BX662" s="126"/>
      <c r="BY662" s="126"/>
      <c r="BZ662" s="126"/>
      <c r="CA662" s="126"/>
      <c r="CB662" s="126"/>
      <c r="CC662" s="126"/>
      <c r="CD662" s="126"/>
      <c r="CE662" s="126"/>
      <c r="CF662" s="126"/>
      <c r="CG662" s="126"/>
      <c r="CH662" s="126"/>
      <c r="CI662" s="126"/>
      <c r="CJ662" s="126"/>
      <c r="CK662" s="126"/>
    </row>
    <row r="663" spans="1:89" ht="9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  <c r="BD663" s="126"/>
      <c r="BE663" s="126"/>
      <c r="BF663" s="126"/>
      <c r="BG663" s="126"/>
      <c r="BH663" s="126"/>
      <c r="BI663" s="126"/>
      <c r="BJ663" s="126"/>
      <c r="BK663" s="126"/>
      <c r="BL663" s="126"/>
      <c r="BM663" s="126"/>
      <c r="BN663" s="126"/>
      <c r="BO663" s="126"/>
      <c r="BP663" s="126"/>
      <c r="BQ663" s="126"/>
      <c r="BR663" s="126"/>
      <c r="BS663" s="126"/>
      <c r="BT663" s="126"/>
      <c r="BU663" s="126"/>
      <c r="BV663" s="126"/>
      <c r="BW663" s="126"/>
      <c r="BX663" s="126"/>
      <c r="BY663" s="126"/>
      <c r="BZ663" s="126"/>
      <c r="CA663" s="126"/>
      <c r="CB663" s="126"/>
      <c r="CC663" s="126"/>
      <c r="CD663" s="126"/>
      <c r="CE663" s="126"/>
      <c r="CF663" s="126"/>
      <c r="CG663" s="126"/>
      <c r="CH663" s="126"/>
      <c r="CI663" s="126"/>
      <c r="CJ663" s="126"/>
      <c r="CK663" s="126"/>
    </row>
    <row r="664" spans="1:89" ht="9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  <c r="BD664" s="126"/>
      <c r="BE664" s="126"/>
      <c r="BF664" s="126"/>
      <c r="BG664" s="126"/>
      <c r="BH664" s="126"/>
      <c r="BI664" s="126"/>
      <c r="BJ664" s="126"/>
      <c r="BK664" s="126"/>
      <c r="BL664" s="126"/>
      <c r="BM664" s="126"/>
      <c r="BN664" s="126"/>
      <c r="BO664" s="126"/>
      <c r="BP664" s="126"/>
      <c r="BQ664" s="126"/>
      <c r="BR664" s="126"/>
      <c r="BS664" s="126"/>
      <c r="BT664" s="126"/>
      <c r="BU664" s="126"/>
      <c r="BV664" s="126"/>
      <c r="BW664" s="126"/>
      <c r="BX664" s="126"/>
      <c r="BY664" s="126"/>
      <c r="BZ664" s="126"/>
      <c r="CA664" s="126"/>
      <c r="CB664" s="126"/>
      <c r="CC664" s="126"/>
      <c r="CD664" s="126"/>
      <c r="CE664" s="126"/>
      <c r="CF664" s="126"/>
      <c r="CG664" s="126"/>
      <c r="CH664" s="126"/>
      <c r="CI664" s="126"/>
      <c r="CJ664" s="126"/>
      <c r="CK664" s="126"/>
    </row>
    <row r="665" spans="1:89" ht="9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  <c r="BD665" s="126"/>
      <c r="BE665" s="126"/>
      <c r="BF665" s="126"/>
      <c r="BG665" s="126"/>
      <c r="BH665" s="126"/>
      <c r="BI665" s="126"/>
      <c r="BJ665" s="126"/>
      <c r="BK665" s="126"/>
      <c r="BL665" s="126"/>
      <c r="BM665" s="126"/>
      <c r="BN665" s="126"/>
      <c r="BO665" s="126"/>
      <c r="BP665" s="126"/>
      <c r="BQ665" s="126"/>
      <c r="BR665" s="126"/>
      <c r="BS665" s="126"/>
      <c r="BT665" s="126"/>
      <c r="BU665" s="126"/>
      <c r="BV665" s="126"/>
      <c r="BW665" s="126"/>
      <c r="BX665" s="126"/>
      <c r="BY665" s="126"/>
      <c r="BZ665" s="126"/>
      <c r="CA665" s="126"/>
      <c r="CB665" s="126"/>
      <c r="CC665" s="126"/>
      <c r="CD665" s="126"/>
      <c r="CE665" s="126"/>
      <c r="CF665" s="126"/>
      <c r="CG665" s="126"/>
      <c r="CH665" s="126"/>
      <c r="CI665" s="126"/>
      <c r="CJ665" s="126"/>
      <c r="CK665" s="126"/>
    </row>
    <row r="666" spans="1:89" ht="9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  <c r="BD666" s="126"/>
      <c r="BE666" s="126"/>
      <c r="BF666" s="126"/>
      <c r="BG666" s="126"/>
      <c r="BH666" s="126"/>
      <c r="BI666" s="126"/>
      <c r="BJ666" s="126"/>
      <c r="BK666" s="126"/>
      <c r="BL666" s="126"/>
      <c r="BM666" s="126"/>
      <c r="BN666" s="126"/>
      <c r="BO666" s="126"/>
      <c r="BP666" s="126"/>
      <c r="BQ666" s="126"/>
      <c r="BR666" s="126"/>
      <c r="BS666" s="126"/>
      <c r="BT666" s="126"/>
      <c r="BU666" s="126"/>
      <c r="BV666" s="126"/>
      <c r="BW666" s="126"/>
      <c r="BX666" s="126"/>
      <c r="BY666" s="126"/>
      <c r="BZ666" s="126"/>
      <c r="CA666" s="126"/>
      <c r="CB666" s="126"/>
      <c r="CC666" s="126"/>
      <c r="CD666" s="126"/>
      <c r="CE666" s="126"/>
      <c r="CF666" s="126"/>
      <c r="CG666" s="126"/>
      <c r="CH666" s="126"/>
      <c r="CI666" s="126"/>
      <c r="CJ666" s="126"/>
      <c r="CK666" s="126"/>
    </row>
    <row r="667" spans="1:89" ht="9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  <c r="BD667" s="126"/>
      <c r="BE667" s="126"/>
      <c r="BF667" s="126"/>
      <c r="BG667" s="126"/>
      <c r="BH667" s="126"/>
      <c r="BI667" s="126"/>
      <c r="BJ667" s="126"/>
      <c r="BK667" s="126"/>
      <c r="BL667" s="126"/>
      <c r="BM667" s="126"/>
      <c r="BN667" s="126"/>
      <c r="BO667" s="126"/>
      <c r="BP667" s="126"/>
      <c r="BQ667" s="126"/>
      <c r="BR667" s="126"/>
      <c r="BS667" s="126"/>
      <c r="BT667" s="126"/>
      <c r="BU667" s="126"/>
      <c r="BV667" s="126"/>
      <c r="BW667" s="126"/>
      <c r="BX667" s="126"/>
      <c r="BY667" s="126"/>
      <c r="BZ667" s="126"/>
      <c r="CA667" s="126"/>
      <c r="CB667" s="126"/>
      <c r="CC667" s="126"/>
      <c r="CD667" s="126"/>
      <c r="CE667" s="126"/>
      <c r="CF667" s="126"/>
      <c r="CG667" s="126"/>
      <c r="CH667" s="126"/>
      <c r="CI667" s="126"/>
      <c r="CJ667" s="126"/>
      <c r="CK667" s="126"/>
    </row>
    <row r="668" spans="1:89" ht="9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  <c r="BD668" s="126"/>
      <c r="BE668" s="126"/>
      <c r="BF668" s="126"/>
      <c r="BG668" s="126"/>
      <c r="BH668" s="126"/>
      <c r="BI668" s="126"/>
      <c r="BJ668" s="126"/>
      <c r="BK668" s="126"/>
      <c r="BL668" s="126"/>
      <c r="BM668" s="126"/>
      <c r="BN668" s="126"/>
      <c r="BO668" s="126"/>
      <c r="BP668" s="126"/>
      <c r="BQ668" s="126"/>
      <c r="BR668" s="126"/>
      <c r="BS668" s="126"/>
      <c r="BT668" s="126"/>
      <c r="BU668" s="126"/>
      <c r="BV668" s="126"/>
      <c r="BW668" s="126"/>
      <c r="BX668" s="126"/>
      <c r="BY668" s="126"/>
      <c r="BZ668" s="126"/>
      <c r="CA668" s="126"/>
      <c r="CB668" s="126"/>
      <c r="CC668" s="126"/>
      <c r="CD668" s="126"/>
      <c r="CE668" s="126"/>
      <c r="CF668" s="126"/>
      <c r="CG668" s="126"/>
      <c r="CH668" s="126"/>
      <c r="CI668" s="126"/>
      <c r="CJ668" s="126"/>
      <c r="CK668" s="126"/>
    </row>
    <row r="669" spans="1:89" ht="9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  <c r="BD669" s="126"/>
      <c r="BE669" s="126"/>
      <c r="BF669" s="126"/>
      <c r="BG669" s="126"/>
      <c r="BH669" s="126"/>
      <c r="BI669" s="126"/>
      <c r="BJ669" s="126"/>
      <c r="BK669" s="126"/>
      <c r="BL669" s="126"/>
      <c r="BM669" s="126"/>
      <c r="BN669" s="126"/>
      <c r="BO669" s="126"/>
      <c r="BP669" s="126"/>
      <c r="BQ669" s="126"/>
      <c r="BR669" s="126"/>
      <c r="BS669" s="126"/>
      <c r="BT669" s="126"/>
      <c r="BU669" s="126"/>
      <c r="BV669" s="126"/>
      <c r="BW669" s="126"/>
      <c r="BX669" s="126"/>
      <c r="BY669" s="126"/>
      <c r="BZ669" s="126"/>
      <c r="CA669" s="126"/>
      <c r="CB669" s="126"/>
      <c r="CC669" s="126"/>
      <c r="CD669" s="126"/>
      <c r="CE669" s="126"/>
      <c r="CF669" s="126"/>
      <c r="CG669" s="126"/>
      <c r="CH669" s="126"/>
      <c r="CI669" s="126"/>
      <c r="CJ669" s="126"/>
      <c r="CK669" s="126"/>
    </row>
    <row r="670" spans="1:89" ht="9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  <c r="BD670" s="126"/>
      <c r="BE670" s="126"/>
      <c r="BF670" s="126"/>
      <c r="BG670" s="126"/>
      <c r="BH670" s="126"/>
      <c r="BI670" s="126"/>
      <c r="BJ670" s="126"/>
      <c r="BK670" s="126"/>
      <c r="BL670" s="126"/>
      <c r="BM670" s="126"/>
      <c r="BN670" s="126"/>
      <c r="BO670" s="126"/>
      <c r="BP670" s="126"/>
      <c r="BQ670" s="126"/>
      <c r="BR670" s="126"/>
      <c r="BS670" s="126"/>
      <c r="BT670" s="126"/>
      <c r="BU670" s="126"/>
      <c r="BV670" s="126"/>
      <c r="BW670" s="126"/>
      <c r="BX670" s="126"/>
      <c r="BY670" s="126"/>
      <c r="BZ670" s="126"/>
      <c r="CA670" s="126"/>
      <c r="CB670" s="126"/>
      <c r="CC670" s="126"/>
      <c r="CD670" s="126"/>
      <c r="CE670" s="126"/>
      <c r="CF670" s="126"/>
      <c r="CG670" s="126"/>
      <c r="CH670" s="126"/>
      <c r="CI670" s="126"/>
      <c r="CJ670" s="126"/>
      <c r="CK670" s="126"/>
    </row>
    <row r="671" spans="1:89" ht="9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  <c r="BD671" s="126"/>
      <c r="BE671" s="126"/>
      <c r="BF671" s="126"/>
      <c r="BG671" s="126"/>
      <c r="BH671" s="126"/>
      <c r="BI671" s="126"/>
      <c r="BJ671" s="126"/>
      <c r="BK671" s="126"/>
      <c r="BL671" s="126"/>
      <c r="BM671" s="126"/>
      <c r="BN671" s="126"/>
      <c r="BO671" s="126"/>
      <c r="BP671" s="126"/>
      <c r="BQ671" s="126"/>
      <c r="BR671" s="126"/>
      <c r="BS671" s="126"/>
      <c r="BT671" s="126"/>
      <c r="BU671" s="126"/>
      <c r="BV671" s="126"/>
      <c r="BW671" s="126"/>
      <c r="BX671" s="126"/>
      <c r="BY671" s="126"/>
      <c r="BZ671" s="126"/>
      <c r="CA671" s="126"/>
      <c r="CB671" s="126"/>
      <c r="CC671" s="126"/>
      <c r="CD671" s="126"/>
      <c r="CE671" s="126"/>
      <c r="CF671" s="126"/>
      <c r="CG671" s="126"/>
      <c r="CH671" s="126"/>
      <c r="CI671" s="126"/>
      <c r="CJ671" s="126"/>
      <c r="CK671" s="126"/>
    </row>
    <row r="672" spans="1:89" ht="9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  <c r="BD672" s="126"/>
      <c r="BE672" s="126"/>
      <c r="BF672" s="126"/>
      <c r="BG672" s="126"/>
      <c r="BH672" s="126"/>
      <c r="BI672" s="126"/>
      <c r="BJ672" s="126"/>
      <c r="BK672" s="126"/>
      <c r="BL672" s="126"/>
      <c r="BM672" s="126"/>
      <c r="BN672" s="126"/>
      <c r="BO672" s="126"/>
      <c r="BP672" s="126"/>
      <c r="BQ672" s="126"/>
      <c r="BR672" s="126"/>
      <c r="BS672" s="126"/>
      <c r="BT672" s="126"/>
      <c r="BU672" s="126"/>
      <c r="BV672" s="126"/>
      <c r="BW672" s="126"/>
      <c r="BX672" s="126"/>
      <c r="BY672" s="126"/>
      <c r="BZ672" s="126"/>
      <c r="CA672" s="126"/>
      <c r="CB672" s="126"/>
      <c r="CC672" s="126"/>
      <c r="CD672" s="126"/>
      <c r="CE672" s="126"/>
      <c r="CF672" s="126"/>
      <c r="CG672" s="126"/>
      <c r="CH672" s="126"/>
      <c r="CI672" s="126"/>
      <c r="CJ672" s="126"/>
      <c r="CK672" s="126"/>
    </row>
    <row r="673" spans="1:89" ht="9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  <c r="BD673" s="126"/>
      <c r="BE673" s="126"/>
      <c r="BF673" s="126"/>
      <c r="BG673" s="126"/>
      <c r="BH673" s="126"/>
      <c r="BI673" s="126"/>
      <c r="BJ673" s="126"/>
      <c r="BK673" s="126"/>
      <c r="BL673" s="126"/>
      <c r="BM673" s="126"/>
      <c r="BN673" s="126"/>
      <c r="BO673" s="126"/>
      <c r="BP673" s="126"/>
      <c r="BQ673" s="126"/>
      <c r="BR673" s="126"/>
      <c r="BS673" s="126"/>
      <c r="BT673" s="126"/>
      <c r="BU673" s="126"/>
      <c r="BV673" s="126"/>
      <c r="BW673" s="126"/>
      <c r="BX673" s="126"/>
      <c r="BY673" s="126"/>
      <c r="BZ673" s="126"/>
      <c r="CA673" s="126"/>
      <c r="CB673" s="126"/>
      <c r="CC673" s="126"/>
      <c r="CD673" s="126"/>
      <c r="CE673" s="126"/>
      <c r="CF673" s="126"/>
      <c r="CG673" s="126"/>
      <c r="CH673" s="126"/>
      <c r="CI673" s="126"/>
      <c r="CJ673" s="126"/>
      <c r="CK673" s="126"/>
    </row>
    <row r="674" spans="1:89" ht="9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  <c r="BD674" s="126"/>
      <c r="BE674" s="126"/>
      <c r="BF674" s="126"/>
      <c r="BG674" s="126"/>
      <c r="BH674" s="126"/>
      <c r="BI674" s="126"/>
      <c r="BJ674" s="126"/>
      <c r="BK674" s="126"/>
      <c r="BL674" s="126"/>
      <c r="BM674" s="126"/>
      <c r="BN674" s="126"/>
      <c r="BO674" s="126"/>
      <c r="BP674" s="126"/>
      <c r="BQ674" s="126"/>
      <c r="BR674" s="126"/>
      <c r="BS674" s="126"/>
      <c r="BT674" s="126"/>
      <c r="BU674" s="126"/>
      <c r="BV674" s="126"/>
      <c r="BW674" s="126"/>
      <c r="BX674" s="126"/>
      <c r="BY674" s="126"/>
      <c r="BZ674" s="126"/>
      <c r="CA674" s="126"/>
      <c r="CB674" s="126"/>
      <c r="CC674" s="126"/>
      <c r="CD674" s="126"/>
      <c r="CE674" s="126"/>
      <c r="CF674" s="126"/>
      <c r="CG674" s="126"/>
      <c r="CH674" s="126"/>
      <c r="CI674" s="126"/>
      <c r="CJ674" s="126"/>
      <c r="CK674" s="126"/>
    </row>
    <row r="675" spans="1:89" ht="9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  <c r="BD675" s="126"/>
      <c r="BE675" s="126"/>
      <c r="BF675" s="126"/>
      <c r="BG675" s="126"/>
      <c r="BH675" s="126"/>
      <c r="BI675" s="126"/>
      <c r="BJ675" s="126"/>
      <c r="BK675" s="126"/>
      <c r="BL675" s="126"/>
      <c r="BM675" s="126"/>
      <c r="BN675" s="126"/>
      <c r="BO675" s="126"/>
      <c r="BP675" s="126"/>
      <c r="BQ675" s="126"/>
      <c r="BR675" s="126"/>
      <c r="BS675" s="126"/>
      <c r="BT675" s="126"/>
      <c r="BU675" s="126"/>
      <c r="BV675" s="126"/>
      <c r="BW675" s="126"/>
      <c r="BX675" s="126"/>
      <c r="BY675" s="126"/>
      <c r="BZ675" s="126"/>
      <c r="CA675" s="126"/>
      <c r="CB675" s="126"/>
      <c r="CC675" s="126"/>
      <c r="CD675" s="126"/>
      <c r="CE675" s="126"/>
      <c r="CF675" s="126"/>
      <c r="CG675" s="126"/>
      <c r="CH675" s="126"/>
      <c r="CI675" s="126"/>
      <c r="CJ675" s="126"/>
      <c r="CK675" s="126"/>
    </row>
    <row r="676" spans="1:89" ht="9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  <c r="BD676" s="126"/>
      <c r="BE676" s="126"/>
      <c r="BF676" s="126"/>
      <c r="BG676" s="126"/>
      <c r="BH676" s="126"/>
      <c r="BI676" s="126"/>
      <c r="BJ676" s="126"/>
      <c r="BK676" s="126"/>
      <c r="BL676" s="126"/>
      <c r="BM676" s="126"/>
      <c r="BN676" s="126"/>
      <c r="BO676" s="126"/>
      <c r="BP676" s="126"/>
      <c r="BQ676" s="126"/>
      <c r="BR676" s="126"/>
      <c r="BS676" s="126"/>
      <c r="BT676" s="126"/>
      <c r="BU676" s="126"/>
      <c r="BV676" s="126"/>
      <c r="BW676" s="126"/>
      <c r="BX676" s="126"/>
      <c r="BY676" s="126"/>
      <c r="BZ676" s="126"/>
      <c r="CA676" s="126"/>
      <c r="CB676" s="126"/>
      <c r="CC676" s="126"/>
      <c r="CD676" s="126"/>
      <c r="CE676" s="126"/>
      <c r="CF676" s="126"/>
      <c r="CG676" s="126"/>
      <c r="CH676" s="126"/>
      <c r="CI676" s="126"/>
      <c r="CJ676" s="126"/>
      <c r="CK676" s="126"/>
    </row>
    <row r="677" spans="1:89" ht="9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  <c r="BD677" s="126"/>
      <c r="BE677" s="126"/>
      <c r="BF677" s="126"/>
      <c r="BG677" s="126"/>
      <c r="BH677" s="126"/>
      <c r="BI677" s="126"/>
      <c r="BJ677" s="126"/>
      <c r="BK677" s="126"/>
      <c r="BL677" s="126"/>
      <c r="BM677" s="126"/>
      <c r="BN677" s="126"/>
      <c r="BO677" s="126"/>
      <c r="BP677" s="126"/>
      <c r="BQ677" s="126"/>
      <c r="BR677" s="126"/>
      <c r="BS677" s="126"/>
      <c r="BT677" s="126"/>
      <c r="BU677" s="126"/>
      <c r="BV677" s="126"/>
      <c r="BW677" s="126"/>
      <c r="BX677" s="126"/>
      <c r="BY677" s="126"/>
      <c r="BZ677" s="126"/>
      <c r="CA677" s="126"/>
      <c r="CB677" s="126"/>
      <c r="CC677" s="126"/>
      <c r="CD677" s="126"/>
      <c r="CE677" s="126"/>
      <c r="CF677" s="126"/>
      <c r="CG677" s="126"/>
      <c r="CH677" s="126"/>
      <c r="CI677" s="126"/>
      <c r="CJ677" s="126"/>
      <c r="CK677" s="126"/>
    </row>
    <row r="678" spans="1:89" ht="9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  <c r="BF678" s="126"/>
      <c r="BG678" s="126"/>
      <c r="BH678" s="126"/>
      <c r="BI678" s="126"/>
      <c r="BJ678" s="126"/>
      <c r="BK678" s="126"/>
      <c r="BL678" s="126"/>
      <c r="BM678" s="126"/>
      <c r="BN678" s="126"/>
      <c r="BO678" s="126"/>
      <c r="BP678" s="126"/>
      <c r="BQ678" s="126"/>
      <c r="BR678" s="126"/>
      <c r="BS678" s="126"/>
      <c r="BT678" s="126"/>
      <c r="BU678" s="126"/>
      <c r="BV678" s="126"/>
      <c r="BW678" s="126"/>
      <c r="BX678" s="126"/>
      <c r="BY678" s="126"/>
      <c r="BZ678" s="126"/>
      <c r="CA678" s="126"/>
      <c r="CB678" s="126"/>
      <c r="CC678" s="126"/>
      <c r="CD678" s="126"/>
      <c r="CE678" s="126"/>
      <c r="CF678" s="126"/>
      <c r="CG678" s="126"/>
      <c r="CH678" s="126"/>
      <c r="CI678" s="126"/>
      <c r="CJ678" s="126"/>
      <c r="CK678" s="126"/>
    </row>
    <row r="679" spans="1:89" ht="9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  <c r="BF679" s="126"/>
      <c r="BG679" s="126"/>
      <c r="BH679" s="126"/>
      <c r="BI679" s="126"/>
      <c r="BJ679" s="126"/>
      <c r="BK679" s="126"/>
      <c r="BL679" s="126"/>
      <c r="BM679" s="126"/>
      <c r="BN679" s="126"/>
      <c r="BO679" s="126"/>
      <c r="BP679" s="126"/>
      <c r="BQ679" s="126"/>
      <c r="BR679" s="126"/>
      <c r="BS679" s="126"/>
      <c r="BT679" s="126"/>
      <c r="BU679" s="126"/>
      <c r="BV679" s="126"/>
      <c r="BW679" s="126"/>
      <c r="BX679" s="126"/>
      <c r="BY679" s="126"/>
      <c r="BZ679" s="126"/>
      <c r="CA679" s="126"/>
      <c r="CB679" s="126"/>
      <c r="CC679" s="126"/>
      <c r="CD679" s="126"/>
      <c r="CE679" s="126"/>
      <c r="CF679" s="126"/>
      <c r="CG679" s="126"/>
      <c r="CH679" s="126"/>
      <c r="CI679" s="126"/>
      <c r="CJ679" s="126"/>
      <c r="CK679" s="126"/>
    </row>
    <row r="680" spans="1:89" ht="9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  <c r="BF680" s="126"/>
      <c r="BG680" s="126"/>
      <c r="BH680" s="126"/>
      <c r="BI680" s="126"/>
      <c r="BJ680" s="126"/>
      <c r="BK680" s="126"/>
      <c r="BL680" s="126"/>
      <c r="BM680" s="126"/>
      <c r="BN680" s="126"/>
      <c r="BO680" s="126"/>
      <c r="BP680" s="126"/>
      <c r="BQ680" s="126"/>
      <c r="BR680" s="126"/>
      <c r="BS680" s="126"/>
      <c r="BT680" s="126"/>
      <c r="BU680" s="126"/>
      <c r="BV680" s="126"/>
      <c r="BW680" s="126"/>
      <c r="BX680" s="126"/>
      <c r="BY680" s="126"/>
      <c r="BZ680" s="126"/>
      <c r="CA680" s="126"/>
      <c r="CB680" s="126"/>
      <c r="CC680" s="126"/>
      <c r="CD680" s="126"/>
      <c r="CE680" s="126"/>
      <c r="CF680" s="126"/>
      <c r="CG680" s="126"/>
      <c r="CH680" s="126"/>
      <c r="CI680" s="126"/>
      <c r="CJ680" s="126"/>
      <c r="CK680" s="126"/>
    </row>
    <row r="681" spans="1:89" ht="9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  <c r="BF681" s="126"/>
      <c r="BG681" s="126"/>
      <c r="BH681" s="126"/>
      <c r="BI681" s="126"/>
      <c r="BJ681" s="126"/>
      <c r="BK681" s="126"/>
      <c r="BL681" s="126"/>
      <c r="BM681" s="126"/>
      <c r="BN681" s="126"/>
      <c r="BO681" s="126"/>
      <c r="BP681" s="126"/>
      <c r="BQ681" s="126"/>
      <c r="BR681" s="126"/>
      <c r="BS681" s="126"/>
      <c r="BT681" s="126"/>
      <c r="BU681" s="126"/>
      <c r="BV681" s="126"/>
      <c r="BW681" s="126"/>
      <c r="BX681" s="126"/>
      <c r="BY681" s="126"/>
      <c r="BZ681" s="126"/>
      <c r="CA681" s="126"/>
      <c r="CB681" s="126"/>
      <c r="CC681" s="126"/>
      <c r="CD681" s="126"/>
      <c r="CE681" s="126"/>
      <c r="CF681" s="126"/>
      <c r="CG681" s="126"/>
      <c r="CH681" s="126"/>
      <c r="CI681" s="126"/>
      <c r="CJ681" s="126"/>
      <c r="CK681" s="126"/>
    </row>
    <row r="682" spans="1:89" ht="9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  <c r="BF682" s="126"/>
      <c r="BG682" s="126"/>
      <c r="BH682" s="126"/>
      <c r="BI682" s="126"/>
      <c r="BJ682" s="126"/>
      <c r="BK682" s="126"/>
      <c r="BL682" s="126"/>
      <c r="BM682" s="126"/>
      <c r="BN682" s="126"/>
      <c r="BO682" s="126"/>
      <c r="BP682" s="126"/>
      <c r="BQ682" s="126"/>
      <c r="BR682" s="126"/>
      <c r="BS682" s="126"/>
      <c r="BT682" s="126"/>
      <c r="BU682" s="126"/>
      <c r="BV682" s="126"/>
      <c r="BW682" s="126"/>
      <c r="BX682" s="126"/>
      <c r="BY682" s="126"/>
      <c r="BZ682" s="126"/>
      <c r="CA682" s="126"/>
      <c r="CB682" s="126"/>
      <c r="CC682" s="126"/>
      <c r="CD682" s="126"/>
      <c r="CE682" s="126"/>
      <c r="CF682" s="126"/>
      <c r="CG682" s="126"/>
      <c r="CH682" s="126"/>
      <c r="CI682" s="126"/>
      <c r="CJ682" s="126"/>
      <c r="CK682" s="126"/>
    </row>
    <row r="683" spans="1:89" ht="9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  <c r="BF683" s="126"/>
      <c r="BG683" s="126"/>
      <c r="BH683" s="126"/>
      <c r="BI683" s="126"/>
      <c r="BJ683" s="126"/>
      <c r="BK683" s="126"/>
      <c r="BL683" s="126"/>
      <c r="BM683" s="126"/>
      <c r="BN683" s="126"/>
      <c r="BO683" s="126"/>
      <c r="BP683" s="126"/>
      <c r="BQ683" s="126"/>
      <c r="BR683" s="126"/>
      <c r="BS683" s="126"/>
      <c r="BT683" s="126"/>
      <c r="BU683" s="126"/>
      <c r="BV683" s="126"/>
      <c r="BW683" s="126"/>
      <c r="BX683" s="126"/>
      <c r="BY683" s="126"/>
      <c r="BZ683" s="126"/>
      <c r="CA683" s="126"/>
      <c r="CB683" s="126"/>
      <c r="CC683" s="126"/>
      <c r="CD683" s="126"/>
      <c r="CE683" s="126"/>
      <c r="CF683" s="126"/>
      <c r="CG683" s="126"/>
      <c r="CH683" s="126"/>
      <c r="CI683" s="126"/>
      <c r="CJ683" s="126"/>
      <c r="CK683" s="126"/>
    </row>
    <row r="684" spans="1:89" ht="9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  <c r="BF684" s="126"/>
      <c r="BG684" s="126"/>
      <c r="BH684" s="126"/>
      <c r="BI684" s="126"/>
      <c r="BJ684" s="126"/>
      <c r="BK684" s="126"/>
      <c r="BL684" s="126"/>
      <c r="BM684" s="126"/>
      <c r="BN684" s="126"/>
      <c r="BO684" s="126"/>
      <c r="BP684" s="126"/>
      <c r="BQ684" s="126"/>
      <c r="BR684" s="126"/>
      <c r="BS684" s="126"/>
      <c r="BT684" s="126"/>
      <c r="BU684" s="126"/>
      <c r="BV684" s="126"/>
      <c r="BW684" s="126"/>
      <c r="BX684" s="126"/>
      <c r="BY684" s="126"/>
      <c r="BZ684" s="126"/>
      <c r="CA684" s="126"/>
      <c r="CB684" s="126"/>
      <c r="CC684" s="126"/>
      <c r="CD684" s="126"/>
      <c r="CE684" s="126"/>
      <c r="CF684" s="126"/>
      <c r="CG684" s="126"/>
      <c r="CH684" s="126"/>
      <c r="CI684" s="126"/>
      <c r="CJ684" s="126"/>
      <c r="CK684" s="126"/>
    </row>
    <row r="685" spans="1:89" ht="9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  <c r="BF685" s="126"/>
      <c r="BG685" s="126"/>
      <c r="BH685" s="126"/>
      <c r="BI685" s="126"/>
      <c r="BJ685" s="126"/>
      <c r="BK685" s="126"/>
      <c r="BL685" s="126"/>
      <c r="BM685" s="126"/>
      <c r="BN685" s="126"/>
      <c r="BO685" s="126"/>
      <c r="BP685" s="126"/>
      <c r="BQ685" s="126"/>
      <c r="BR685" s="126"/>
      <c r="BS685" s="126"/>
      <c r="BT685" s="126"/>
      <c r="BU685" s="126"/>
      <c r="BV685" s="126"/>
      <c r="BW685" s="126"/>
      <c r="BX685" s="126"/>
      <c r="BY685" s="126"/>
      <c r="BZ685" s="126"/>
      <c r="CA685" s="126"/>
      <c r="CB685" s="126"/>
      <c r="CC685" s="126"/>
      <c r="CD685" s="126"/>
      <c r="CE685" s="126"/>
      <c r="CF685" s="126"/>
      <c r="CG685" s="126"/>
      <c r="CH685" s="126"/>
      <c r="CI685" s="126"/>
      <c r="CJ685" s="126"/>
      <c r="CK685" s="126"/>
    </row>
    <row r="686" spans="1:89" ht="9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  <c r="BF686" s="126"/>
      <c r="BG686" s="126"/>
      <c r="BH686" s="126"/>
      <c r="BI686" s="126"/>
      <c r="BJ686" s="126"/>
      <c r="BK686" s="126"/>
      <c r="BL686" s="126"/>
      <c r="BM686" s="126"/>
      <c r="BN686" s="126"/>
      <c r="BO686" s="126"/>
      <c r="BP686" s="126"/>
      <c r="BQ686" s="126"/>
      <c r="BR686" s="126"/>
      <c r="BS686" s="126"/>
      <c r="BT686" s="126"/>
      <c r="BU686" s="126"/>
      <c r="BV686" s="126"/>
      <c r="BW686" s="126"/>
      <c r="BX686" s="126"/>
      <c r="BY686" s="126"/>
      <c r="BZ686" s="126"/>
      <c r="CA686" s="126"/>
      <c r="CB686" s="126"/>
      <c r="CC686" s="126"/>
      <c r="CD686" s="126"/>
      <c r="CE686" s="126"/>
      <c r="CF686" s="126"/>
      <c r="CG686" s="126"/>
      <c r="CH686" s="126"/>
      <c r="CI686" s="126"/>
      <c r="CJ686" s="126"/>
      <c r="CK686" s="126"/>
    </row>
    <row r="687" spans="1:89" ht="9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  <c r="BF687" s="126"/>
      <c r="BG687" s="126"/>
      <c r="BH687" s="126"/>
      <c r="BI687" s="126"/>
      <c r="BJ687" s="126"/>
      <c r="BK687" s="126"/>
      <c r="BL687" s="126"/>
      <c r="BM687" s="126"/>
      <c r="BN687" s="126"/>
      <c r="BO687" s="126"/>
      <c r="BP687" s="126"/>
      <c r="BQ687" s="126"/>
      <c r="BR687" s="126"/>
      <c r="BS687" s="126"/>
      <c r="BT687" s="126"/>
      <c r="BU687" s="126"/>
      <c r="BV687" s="126"/>
      <c r="BW687" s="126"/>
      <c r="BX687" s="126"/>
      <c r="BY687" s="126"/>
      <c r="BZ687" s="126"/>
      <c r="CA687" s="126"/>
      <c r="CB687" s="126"/>
      <c r="CC687" s="126"/>
      <c r="CD687" s="126"/>
      <c r="CE687" s="126"/>
      <c r="CF687" s="126"/>
      <c r="CG687" s="126"/>
      <c r="CH687" s="126"/>
      <c r="CI687" s="126"/>
      <c r="CJ687" s="126"/>
      <c r="CK687" s="126"/>
    </row>
    <row r="688" spans="1:89" ht="9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  <c r="BF688" s="126"/>
      <c r="BG688" s="126"/>
      <c r="BH688" s="126"/>
      <c r="BI688" s="126"/>
      <c r="BJ688" s="126"/>
      <c r="BK688" s="126"/>
      <c r="BL688" s="126"/>
      <c r="BM688" s="126"/>
      <c r="BN688" s="126"/>
      <c r="BO688" s="126"/>
      <c r="BP688" s="126"/>
      <c r="BQ688" s="126"/>
      <c r="BR688" s="126"/>
      <c r="BS688" s="126"/>
      <c r="BT688" s="126"/>
      <c r="BU688" s="126"/>
      <c r="BV688" s="126"/>
      <c r="BW688" s="126"/>
      <c r="BX688" s="126"/>
      <c r="BY688" s="126"/>
      <c r="BZ688" s="126"/>
      <c r="CA688" s="126"/>
      <c r="CB688" s="126"/>
      <c r="CC688" s="126"/>
      <c r="CD688" s="126"/>
      <c r="CE688" s="126"/>
      <c r="CF688" s="126"/>
      <c r="CG688" s="126"/>
      <c r="CH688" s="126"/>
      <c r="CI688" s="126"/>
      <c r="CJ688" s="126"/>
      <c r="CK688" s="126"/>
    </row>
    <row r="689" spans="1:89" ht="9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  <c r="BF689" s="126"/>
      <c r="BG689" s="126"/>
      <c r="BH689" s="126"/>
      <c r="BI689" s="126"/>
      <c r="BJ689" s="126"/>
      <c r="BK689" s="126"/>
      <c r="BL689" s="126"/>
      <c r="BM689" s="126"/>
      <c r="BN689" s="126"/>
      <c r="BO689" s="126"/>
      <c r="BP689" s="126"/>
      <c r="BQ689" s="126"/>
      <c r="BR689" s="126"/>
      <c r="BS689" s="126"/>
      <c r="BT689" s="126"/>
      <c r="BU689" s="126"/>
      <c r="BV689" s="126"/>
      <c r="BW689" s="126"/>
      <c r="BX689" s="126"/>
      <c r="BY689" s="126"/>
      <c r="BZ689" s="126"/>
      <c r="CA689" s="126"/>
      <c r="CB689" s="126"/>
      <c r="CC689" s="126"/>
      <c r="CD689" s="126"/>
      <c r="CE689" s="126"/>
      <c r="CF689" s="126"/>
      <c r="CG689" s="126"/>
      <c r="CH689" s="126"/>
      <c r="CI689" s="126"/>
      <c r="CJ689" s="126"/>
      <c r="CK689" s="126"/>
    </row>
    <row r="690" spans="1:89" ht="9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  <c r="BF690" s="126"/>
      <c r="BG690" s="126"/>
      <c r="BH690" s="126"/>
      <c r="BI690" s="126"/>
      <c r="BJ690" s="126"/>
      <c r="BK690" s="126"/>
      <c r="BL690" s="126"/>
      <c r="BM690" s="126"/>
      <c r="BN690" s="126"/>
      <c r="BO690" s="126"/>
      <c r="BP690" s="126"/>
      <c r="BQ690" s="126"/>
      <c r="BR690" s="126"/>
      <c r="BS690" s="126"/>
      <c r="BT690" s="126"/>
      <c r="BU690" s="126"/>
      <c r="BV690" s="126"/>
      <c r="BW690" s="126"/>
      <c r="BX690" s="126"/>
      <c r="BY690" s="126"/>
      <c r="BZ690" s="126"/>
      <c r="CA690" s="126"/>
      <c r="CB690" s="126"/>
      <c r="CC690" s="126"/>
      <c r="CD690" s="126"/>
      <c r="CE690" s="126"/>
      <c r="CF690" s="126"/>
      <c r="CG690" s="126"/>
      <c r="CH690" s="126"/>
      <c r="CI690" s="126"/>
      <c r="CJ690" s="126"/>
      <c r="CK690" s="126"/>
    </row>
    <row r="691" spans="1:89" ht="9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  <c r="BF691" s="126"/>
      <c r="BG691" s="126"/>
      <c r="BH691" s="126"/>
      <c r="BI691" s="126"/>
      <c r="BJ691" s="126"/>
      <c r="BK691" s="126"/>
      <c r="BL691" s="126"/>
      <c r="BM691" s="126"/>
      <c r="BN691" s="126"/>
      <c r="BO691" s="126"/>
      <c r="BP691" s="126"/>
      <c r="BQ691" s="126"/>
      <c r="BR691" s="126"/>
      <c r="BS691" s="126"/>
      <c r="BT691" s="126"/>
      <c r="BU691" s="126"/>
      <c r="BV691" s="126"/>
      <c r="BW691" s="126"/>
      <c r="BX691" s="126"/>
      <c r="BY691" s="126"/>
      <c r="BZ691" s="126"/>
      <c r="CA691" s="126"/>
      <c r="CB691" s="126"/>
      <c r="CC691" s="126"/>
      <c r="CD691" s="126"/>
      <c r="CE691" s="126"/>
      <c r="CF691" s="126"/>
      <c r="CG691" s="126"/>
      <c r="CH691" s="126"/>
      <c r="CI691" s="126"/>
      <c r="CJ691" s="126"/>
      <c r="CK691" s="126"/>
    </row>
    <row r="692" spans="1:89" ht="9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  <c r="BF692" s="126"/>
      <c r="BG692" s="126"/>
      <c r="BH692" s="126"/>
      <c r="BI692" s="126"/>
      <c r="BJ692" s="126"/>
      <c r="BK692" s="126"/>
      <c r="BL692" s="126"/>
      <c r="BM692" s="126"/>
      <c r="BN692" s="126"/>
      <c r="BO692" s="126"/>
      <c r="BP692" s="126"/>
      <c r="BQ692" s="126"/>
      <c r="BR692" s="126"/>
      <c r="BS692" s="126"/>
      <c r="BT692" s="126"/>
      <c r="BU692" s="126"/>
      <c r="BV692" s="126"/>
      <c r="BW692" s="126"/>
      <c r="BX692" s="126"/>
      <c r="BY692" s="126"/>
      <c r="BZ692" s="126"/>
      <c r="CA692" s="126"/>
      <c r="CB692" s="126"/>
      <c r="CC692" s="126"/>
      <c r="CD692" s="126"/>
      <c r="CE692" s="126"/>
      <c r="CF692" s="126"/>
      <c r="CG692" s="126"/>
      <c r="CH692" s="126"/>
      <c r="CI692" s="126"/>
      <c r="CJ692" s="126"/>
      <c r="CK692" s="126"/>
    </row>
    <row r="693" spans="1:89" ht="9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  <c r="BF693" s="126"/>
      <c r="BG693" s="126"/>
      <c r="BH693" s="126"/>
      <c r="BI693" s="126"/>
      <c r="BJ693" s="126"/>
      <c r="BK693" s="126"/>
      <c r="BL693" s="126"/>
      <c r="BM693" s="126"/>
      <c r="BN693" s="126"/>
      <c r="BO693" s="126"/>
      <c r="BP693" s="126"/>
      <c r="BQ693" s="126"/>
      <c r="BR693" s="126"/>
      <c r="BS693" s="126"/>
      <c r="BT693" s="126"/>
      <c r="BU693" s="126"/>
      <c r="BV693" s="126"/>
      <c r="BW693" s="126"/>
      <c r="BX693" s="126"/>
      <c r="BY693" s="126"/>
      <c r="BZ693" s="126"/>
      <c r="CA693" s="126"/>
      <c r="CB693" s="126"/>
      <c r="CC693" s="126"/>
      <c r="CD693" s="126"/>
      <c r="CE693" s="126"/>
      <c r="CF693" s="126"/>
      <c r="CG693" s="126"/>
      <c r="CH693" s="126"/>
      <c r="CI693" s="126"/>
      <c r="CJ693" s="126"/>
      <c r="CK693" s="126"/>
    </row>
    <row r="694" spans="1:89" ht="9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126"/>
      <c r="BF694" s="126"/>
      <c r="BG694" s="126"/>
      <c r="BH694" s="126"/>
      <c r="BI694" s="126"/>
      <c r="BJ694" s="126"/>
      <c r="BK694" s="126"/>
      <c r="BL694" s="126"/>
      <c r="BM694" s="126"/>
      <c r="BN694" s="126"/>
      <c r="BO694" s="126"/>
      <c r="BP694" s="126"/>
      <c r="BQ694" s="126"/>
      <c r="BR694" s="126"/>
      <c r="BS694" s="126"/>
      <c r="BT694" s="126"/>
      <c r="BU694" s="126"/>
      <c r="BV694" s="126"/>
      <c r="BW694" s="126"/>
      <c r="BX694" s="126"/>
      <c r="BY694" s="126"/>
      <c r="BZ694" s="126"/>
      <c r="CA694" s="126"/>
      <c r="CB694" s="126"/>
      <c r="CC694" s="126"/>
      <c r="CD694" s="126"/>
      <c r="CE694" s="126"/>
      <c r="CF694" s="126"/>
      <c r="CG694" s="126"/>
      <c r="CH694" s="126"/>
      <c r="CI694" s="126"/>
      <c r="CJ694" s="126"/>
      <c r="CK694" s="126"/>
    </row>
    <row r="695" spans="1:89" ht="9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126"/>
      <c r="BF695" s="126"/>
      <c r="BG695" s="126"/>
      <c r="BH695" s="126"/>
      <c r="BI695" s="126"/>
      <c r="BJ695" s="126"/>
      <c r="BK695" s="126"/>
      <c r="BL695" s="126"/>
      <c r="BM695" s="126"/>
      <c r="BN695" s="126"/>
      <c r="BO695" s="126"/>
      <c r="BP695" s="126"/>
      <c r="BQ695" s="126"/>
      <c r="BR695" s="126"/>
      <c r="BS695" s="126"/>
      <c r="BT695" s="126"/>
      <c r="BU695" s="126"/>
      <c r="BV695" s="126"/>
      <c r="BW695" s="126"/>
      <c r="BX695" s="126"/>
      <c r="BY695" s="126"/>
      <c r="BZ695" s="126"/>
      <c r="CA695" s="126"/>
      <c r="CB695" s="126"/>
      <c r="CC695" s="126"/>
      <c r="CD695" s="126"/>
      <c r="CE695" s="126"/>
      <c r="CF695" s="126"/>
      <c r="CG695" s="126"/>
      <c r="CH695" s="126"/>
      <c r="CI695" s="126"/>
      <c r="CJ695" s="126"/>
      <c r="CK695" s="126"/>
    </row>
    <row r="696" spans="1:89" ht="9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  <c r="BK696" s="126"/>
      <c r="BL696" s="126"/>
      <c r="BM696" s="126"/>
      <c r="BN696" s="126"/>
      <c r="BO696" s="126"/>
      <c r="BP696" s="126"/>
      <c r="BQ696" s="126"/>
      <c r="BR696" s="126"/>
      <c r="BS696" s="126"/>
      <c r="BT696" s="126"/>
      <c r="BU696" s="126"/>
      <c r="BV696" s="126"/>
      <c r="BW696" s="126"/>
      <c r="BX696" s="126"/>
      <c r="BY696" s="126"/>
      <c r="BZ696" s="126"/>
      <c r="CA696" s="126"/>
      <c r="CB696" s="126"/>
      <c r="CC696" s="126"/>
      <c r="CD696" s="126"/>
      <c r="CE696" s="126"/>
      <c r="CF696" s="126"/>
      <c r="CG696" s="126"/>
      <c r="CH696" s="126"/>
      <c r="CI696" s="126"/>
      <c r="CJ696" s="126"/>
      <c r="CK696" s="126"/>
    </row>
    <row r="697" spans="1:89" ht="9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  <c r="BK697" s="126"/>
      <c r="BL697" s="126"/>
      <c r="BM697" s="126"/>
      <c r="BN697" s="126"/>
      <c r="BO697" s="126"/>
      <c r="BP697" s="126"/>
      <c r="BQ697" s="126"/>
      <c r="BR697" s="126"/>
      <c r="BS697" s="126"/>
      <c r="BT697" s="126"/>
      <c r="BU697" s="126"/>
      <c r="BV697" s="126"/>
      <c r="BW697" s="126"/>
      <c r="BX697" s="126"/>
      <c r="BY697" s="126"/>
      <c r="BZ697" s="126"/>
      <c r="CA697" s="126"/>
      <c r="CB697" s="126"/>
      <c r="CC697" s="126"/>
      <c r="CD697" s="126"/>
      <c r="CE697" s="126"/>
      <c r="CF697" s="126"/>
      <c r="CG697" s="126"/>
      <c r="CH697" s="126"/>
      <c r="CI697" s="126"/>
      <c r="CJ697" s="126"/>
      <c r="CK697" s="126"/>
    </row>
    <row r="698" spans="1:89" ht="9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  <c r="BK698" s="126"/>
      <c r="BL698" s="126"/>
      <c r="BM698" s="126"/>
      <c r="BN698" s="126"/>
      <c r="BO698" s="126"/>
      <c r="BP698" s="126"/>
      <c r="BQ698" s="126"/>
      <c r="BR698" s="126"/>
      <c r="BS698" s="126"/>
      <c r="BT698" s="126"/>
      <c r="BU698" s="126"/>
      <c r="BV698" s="126"/>
      <c r="BW698" s="126"/>
      <c r="BX698" s="126"/>
      <c r="BY698" s="126"/>
      <c r="BZ698" s="126"/>
      <c r="CA698" s="126"/>
      <c r="CB698" s="126"/>
      <c r="CC698" s="126"/>
      <c r="CD698" s="126"/>
      <c r="CE698" s="126"/>
      <c r="CF698" s="126"/>
      <c r="CG698" s="126"/>
      <c r="CH698" s="126"/>
      <c r="CI698" s="126"/>
      <c r="CJ698" s="126"/>
      <c r="CK698" s="126"/>
    </row>
    <row r="699" spans="1:89" ht="9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  <c r="BK699" s="126"/>
      <c r="BL699" s="126"/>
      <c r="BM699" s="126"/>
      <c r="BN699" s="126"/>
      <c r="BO699" s="126"/>
      <c r="BP699" s="126"/>
      <c r="BQ699" s="126"/>
      <c r="BR699" s="126"/>
      <c r="BS699" s="126"/>
      <c r="BT699" s="126"/>
      <c r="BU699" s="126"/>
      <c r="BV699" s="126"/>
      <c r="BW699" s="126"/>
      <c r="BX699" s="126"/>
      <c r="BY699" s="126"/>
      <c r="BZ699" s="126"/>
      <c r="CA699" s="126"/>
      <c r="CB699" s="126"/>
      <c r="CC699" s="126"/>
      <c r="CD699" s="126"/>
      <c r="CE699" s="126"/>
      <c r="CF699" s="126"/>
      <c r="CG699" s="126"/>
      <c r="CH699" s="126"/>
      <c r="CI699" s="126"/>
      <c r="CJ699" s="126"/>
      <c r="CK699" s="126"/>
    </row>
    <row r="700" spans="1:89" ht="9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  <c r="BK700" s="126"/>
      <c r="BL700" s="126"/>
      <c r="BM700" s="126"/>
      <c r="BN700" s="126"/>
      <c r="BO700" s="126"/>
      <c r="BP700" s="126"/>
      <c r="BQ700" s="126"/>
      <c r="BR700" s="126"/>
      <c r="BS700" s="126"/>
      <c r="BT700" s="126"/>
      <c r="BU700" s="126"/>
      <c r="BV700" s="126"/>
      <c r="BW700" s="126"/>
      <c r="BX700" s="126"/>
      <c r="BY700" s="126"/>
      <c r="BZ700" s="126"/>
      <c r="CA700" s="126"/>
      <c r="CB700" s="126"/>
      <c r="CC700" s="126"/>
      <c r="CD700" s="126"/>
      <c r="CE700" s="126"/>
      <c r="CF700" s="126"/>
      <c r="CG700" s="126"/>
      <c r="CH700" s="126"/>
      <c r="CI700" s="126"/>
      <c r="CJ700" s="126"/>
      <c r="CK700" s="126"/>
    </row>
    <row r="701" spans="1:89" ht="9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  <c r="BK701" s="126"/>
      <c r="BL701" s="126"/>
      <c r="BM701" s="126"/>
      <c r="BN701" s="126"/>
      <c r="BO701" s="126"/>
      <c r="BP701" s="126"/>
      <c r="BQ701" s="126"/>
      <c r="BR701" s="126"/>
      <c r="BS701" s="126"/>
      <c r="BT701" s="126"/>
      <c r="BU701" s="126"/>
      <c r="BV701" s="126"/>
      <c r="BW701" s="126"/>
      <c r="BX701" s="126"/>
      <c r="BY701" s="126"/>
      <c r="BZ701" s="126"/>
      <c r="CA701" s="126"/>
      <c r="CB701" s="126"/>
      <c r="CC701" s="126"/>
      <c r="CD701" s="126"/>
      <c r="CE701" s="126"/>
      <c r="CF701" s="126"/>
      <c r="CG701" s="126"/>
      <c r="CH701" s="126"/>
      <c r="CI701" s="126"/>
      <c r="CJ701" s="126"/>
      <c r="CK701" s="126"/>
    </row>
    <row r="702" spans="1:89" ht="9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  <c r="BK702" s="126"/>
      <c r="BL702" s="126"/>
      <c r="BM702" s="126"/>
      <c r="BN702" s="126"/>
      <c r="BO702" s="126"/>
      <c r="BP702" s="126"/>
      <c r="BQ702" s="126"/>
      <c r="BR702" s="126"/>
      <c r="BS702" s="126"/>
      <c r="BT702" s="126"/>
      <c r="BU702" s="126"/>
      <c r="BV702" s="126"/>
      <c r="BW702" s="126"/>
      <c r="BX702" s="126"/>
      <c r="BY702" s="126"/>
      <c r="BZ702" s="126"/>
      <c r="CA702" s="126"/>
      <c r="CB702" s="126"/>
      <c r="CC702" s="126"/>
      <c r="CD702" s="126"/>
      <c r="CE702" s="126"/>
      <c r="CF702" s="126"/>
      <c r="CG702" s="126"/>
      <c r="CH702" s="126"/>
      <c r="CI702" s="126"/>
      <c r="CJ702" s="126"/>
      <c r="CK702" s="126"/>
    </row>
    <row r="703" spans="1:89" ht="9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  <c r="BK703" s="126"/>
      <c r="BL703" s="126"/>
      <c r="BM703" s="126"/>
      <c r="BN703" s="126"/>
      <c r="BO703" s="126"/>
      <c r="BP703" s="126"/>
      <c r="BQ703" s="126"/>
      <c r="BR703" s="126"/>
      <c r="BS703" s="126"/>
      <c r="BT703" s="126"/>
      <c r="BU703" s="126"/>
      <c r="BV703" s="126"/>
      <c r="BW703" s="126"/>
      <c r="BX703" s="126"/>
      <c r="BY703" s="126"/>
      <c r="BZ703" s="126"/>
      <c r="CA703" s="126"/>
      <c r="CB703" s="126"/>
      <c r="CC703" s="126"/>
      <c r="CD703" s="126"/>
      <c r="CE703" s="126"/>
      <c r="CF703" s="126"/>
      <c r="CG703" s="126"/>
      <c r="CH703" s="126"/>
      <c r="CI703" s="126"/>
      <c r="CJ703" s="126"/>
      <c r="CK703" s="126"/>
    </row>
    <row r="704" spans="1:89" ht="9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  <c r="BK704" s="126"/>
      <c r="BL704" s="126"/>
      <c r="BM704" s="126"/>
      <c r="BN704" s="126"/>
      <c r="BO704" s="126"/>
      <c r="BP704" s="126"/>
      <c r="BQ704" s="126"/>
      <c r="BR704" s="126"/>
      <c r="BS704" s="126"/>
      <c r="BT704" s="126"/>
      <c r="BU704" s="126"/>
      <c r="BV704" s="126"/>
      <c r="BW704" s="126"/>
      <c r="BX704" s="126"/>
      <c r="BY704" s="126"/>
      <c r="BZ704" s="126"/>
      <c r="CA704" s="126"/>
      <c r="CB704" s="126"/>
      <c r="CC704" s="126"/>
      <c r="CD704" s="126"/>
      <c r="CE704" s="126"/>
      <c r="CF704" s="126"/>
      <c r="CG704" s="126"/>
      <c r="CH704" s="126"/>
      <c r="CI704" s="126"/>
      <c r="CJ704" s="126"/>
      <c r="CK704" s="126"/>
    </row>
    <row r="705" spans="1:89" ht="9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  <c r="BK705" s="126"/>
      <c r="BL705" s="126"/>
      <c r="BM705" s="126"/>
      <c r="BN705" s="126"/>
      <c r="BO705" s="126"/>
      <c r="BP705" s="126"/>
      <c r="BQ705" s="126"/>
      <c r="BR705" s="126"/>
      <c r="BS705" s="126"/>
      <c r="BT705" s="126"/>
      <c r="BU705" s="126"/>
      <c r="BV705" s="126"/>
      <c r="BW705" s="126"/>
      <c r="BX705" s="126"/>
      <c r="BY705" s="126"/>
      <c r="BZ705" s="126"/>
      <c r="CA705" s="126"/>
      <c r="CB705" s="126"/>
      <c r="CC705" s="126"/>
      <c r="CD705" s="126"/>
      <c r="CE705" s="126"/>
      <c r="CF705" s="126"/>
      <c r="CG705" s="126"/>
      <c r="CH705" s="126"/>
      <c r="CI705" s="126"/>
      <c r="CJ705" s="126"/>
      <c r="CK705" s="126"/>
    </row>
    <row r="706" spans="1:89" ht="9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  <c r="BK706" s="126"/>
      <c r="BL706" s="126"/>
      <c r="BM706" s="126"/>
      <c r="BN706" s="126"/>
      <c r="BO706" s="126"/>
      <c r="BP706" s="126"/>
      <c r="BQ706" s="126"/>
      <c r="BR706" s="126"/>
      <c r="BS706" s="126"/>
      <c r="BT706" s="126"/>
      <c r="BU706" s="126"/>
      <c r="BV706" s="126"/>
      <c r="BW706" s="126"/>
      <c r="BX706" s="126"/>
      <c r="BY706" s="126"/>
      <c r="BZ706" s="126"/>
      <c r="CA706" s="126"/>
      <c r="CB706" s="126"/>
      <c r="CC706" s="126"/>
      <c r="CD706" s="126"/>
      <c r="CE706" s="126"/>
      <c r="CF706" s="126"/>
      <c r="CG706" s="126"/>
      <c r="CH706" s="126"/>
      <c r="CI706" s="126"/>
      <c r="CJ706" s="126"/>
      <c r="CK706" s="126"/>
    </row>
    <row r="707" spans="1:89" ht="9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  <c r="BK707" s="126"/>
      <c r="BL707" s="126"/>
      <c r="BM707" s="126"/>
      <c r="BN707" s="126"/>
      <c r="BO707" s="126"/>
      <c r="BP707" s="126"/>
      <c r="BQ707" s="126"/>
      <c r="BR707" s="126"/>
      <c r="BS707" s="126"/>
      <c r="BT707" s="126"/>
      <c r="BU707" s="126"/>
      <c r="BV707" s="126"/>
      <c r="BW707" s="126"/>
      <c r="BX707" s="126"/>
      <c r="BY707" s="126"/>
      <c r="BZ707" s="126"/>
      <c r="CA707" s="126"/>
      <c r="CB707" s="126"/>
      <c r="CC707" s="126"/>
      <c r="CD707" s="126"/>
      <c r="CE707" s="126"/>
      <c r="CF707" s="126"/>
      <c r="CG707" s="126"/>
      <c r="CH707" s="126"/>
      <c r="CI707" s="126"/>
      <c r="CJ707" s="126"/>
      <c r="CK707" s="126"/>
    </row>
    <row r="708" spans="1:89" ht="9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  <c r="BK708" s="126"/>
      <c r="BL708" s="126"/>
      <c r="BM708" s="126"/>
      <c r="BN708" s="126"/>
      <c r="BO708" s="126"/>
      <c r="BP708" s="126"/>
      <c r="BQ708" s="126"/>
      <c r="BR708" s="126"/>
      <c r="BS708" s="126"/>
      <c r="BT708" s="126"/>
      <c r="BU708" s="126"/>
      <c r="BV708" s="126"/>
      <c r="BW708" s="126"/>
      <c r="BX708" s="126"/>
      <c r="BY708" s="126"/>
      <c r="BZ708" s="126"/>
      <c r="CA708" s="126"/>
      <c r="CB708" s="126"/>
      <c r="CC708" s="126"/>
      <c r="CD708" s="126"/>
      <c r="CE708" s="126"/>
      <c r="CF708" s="126"/>
      <c r="CG708" s="126"/>
      <c r="CH708" s="126"/>
      <c r="CI708" s="126"/>
      <c r="CJ708" s="126"/>
      <c r="CK708" s="126"/>
    </row>
    <row r="709" spans="1:89" ht="9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  <c r="BK709" s="126"/>
      <c r="BL709" s="126"/>
      <c r="BM709" s="126"/>
      <c r="BN709" s="126"/>
      <c r="BO709" s="126"/>
      <c r="BP709" s="126"/>
      <c r="BQ709" s="126"/>
      <c r="BR709" s="126"/>
      <c r="BS709" s="126"/>
      <c r="BT709" s="126"/>
      <c r="BU709" s="126"/>
      <c r="BV709" s="126"/>
      <c r="BW709" s="126"/>
      <c r="BX709" s="126"/>
      <c r="BY709" s="126"/>
      <c r="BZ709" s="126"/>
      <c r="CA709" s="126"/>
      <c r="CB709" s="126"/>
      <c r="CC709" s="126"/>
      <c r="CD709" s="126"/>
      <c r="CE709" s="126"/>
      <c r="CF709" s="126"/>
      <c r="CG709" s="126"/>
      <c r="CH709" s="126"/>
      <c r="CI709" s="126"/>
      <c r="CJ709" s="126"/>
      <c r="CK709" s="126"/>
    </row>
    <row r="710" spans="1:89" ht="9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126"/>
      <c r="BF710" s="126"/>
      <c r="BG710" s="126"/>
      <c r="BH710" s="126"/>
      <c r="BI710" s="126"/>
      <c r="BJ710" s="126"/>
      <c r="BK710" s="126"/>
      <c r="BL710" s="126"/>
      <c r="BM710" s="126"/>
      <c r="BN710" s="126"/>
      <c r="BO710" s="126"/>
      <c r="BP710" s="126"/>
      <c r="BQ710" s="126"/>
      <c r="BR710" s="126"/>
      <c r="BS710" s="126"/>
      <c r="BT710" s="126"/>
      <c r="BU710" s="126"/>
      <c r="BV710" s="126"/>
      <c r="BW710" s="126"/>
      <c r="BX710" s="126"/>
      <c r="BY710" s="126"/>
      <c r="BZ710" s="126"/>
      <c r="CA710" s="126"/>
      <c r="CB710" s="126"/>
      <c r="CC710" s="126"/>
      <c r="CD710" s="126"/>
      <c r="CE710" s="126"/>
      <c r="CF710" s="126"/>
      <c r="CG710" s="126"/>
      <c r="CH710" s="126"/>
      <c r="CI710" s="126"/>
      <c r="CJ710" s="126"/>
      <c r="CK710" s="126"/>
    </row>
    <row r="711" spans="1:89" ht="9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126"/>
      <c r="BF711" s="126"/>
      <c r="BG711" s="126"/>
      <c r="BH711" s="126"/>
      <c r="BI711" s="126"/>
      <c r="BJ711" s="126"/>
      <c r="BK711" s="126"/>
      <c r="BL711" s="126"/>
      <c r="BM711" s="126"/>
      <c r="BN711" s="126"/>
      <c r="BO711" s="126"/>
      <c r="BP711" s="126"/>
      <c r="BQ711" s="126"/>
      <c r="BR711" s="126"/>
      <c r="BS711" s="126"/>
      <c r="BT711" s="126"/>
      <c r="BU711" s="126"/>
      <c r="BV711" s="126"/>
      <c r="BW711" s="126"/>
      <c r="BX711" s="126"/>
      <c r="BY711" s="126"/>
      <c r="BZ711" s="126"/>
      <c r="CA711" s="126"/>
      <c r="CB711" s="126"/>
      <c r="CC711" s="126"/>
      <c r="CD711" s="126"/>
      <c r="CE711" s="126"/>
      <c r="CF711" s="126"/>
      <c r="CG711" s="126"/>
      <c r="CH711" s="126"/>
      <c r="CI711" s="126"/>
      <c r="CJ711" s="126"/>
      <c r="CK711" s="126"/>
    </row>
    <row r="712" spans="1:89" ht="9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126"/>
      <c r="BF712" s="126"/>
      <c r="BG712" s="126"/>
      <c r="BH712" s="126"/>
      <c r="BI712" s="126"/>
      <c r="BJ712" s="126"/>
      <c r="BK712" s="126"/>
      <c r="BL712" s="126"/>
      <c r="BM712" s="126"/>
      <c r="BN712" s="126"/>
      <c r="BO712" s="126"/>
      <c r="BP712" s="126"/>
      <c r="BQ712" s="126"/>
      <c r="BR712" s="126"/>
      <c r="BS712" s="126"/>
      <c r="BT712" s="126"/>
      <c r="BU712" s="126"/>
      <c r="BV712" s="126"/>
      <c r="BW712" s="126"/>
      <c r="BX712" s="126"/>
      <c r="BY712" s="126"/>
      <c r="BZ712" s="126"/>
      <c r="CA712" s="126"/>
      <c r="CB712" s="126"/>
      <c r="CC712" s="126"/>
      <c r="CD712" s="126"/>
      <c r="CE712" s="126"/>
      <c r="CF712" s="126"/>
      <c r="CG712" s="126"/>
      <c r="CH712" s="126"/>
      <c r="CI712" s="126"/>
      <c r="CJ712" s="126"/>
      <c r="CK712" s="126"/>
    </row>
    <row r="713" spans="1:89" ht="9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126"/>
      <c r="BF713" s="126"/>
      <c r="BG713" s="126"/>
      <c r="BH713" s="126"/>
      <c r="BI713" s="126"/>
      <c r="BJ713" s="126"/>
      <c r="BK713" s="126"/>
      <c r="BL713" s="126"/>
      <c r="BM713" s="126"/>
      <c r="BN713" s="126"/>
      <c r="BO713" s="126"/>
      <c r="BP713" s="126"/>
      <c r="BQ713" s="126"/>
      <c r="BR713" s="126"/>
      <c r="BS713" s="126"/>
      <c r="BT713" s="126"/>
      <c r="BU713" s="126"/>
      <c r="BV713" s="126"/>
      <c r="BW713" s="126"/>
      <c r="BX713" s="126"/>
      <c r="BY713" s="126"/>
      <c r="BZ713" s="126"/>
      <c r="CA713" s="126"/>
      <c r="CB713" s="126"/>
      <c r="CC713" s="126"/>
      <c r="CD713" s="126"/>
      <c r="CE713" s="126"/>
      <c r="CF713" s="126"/>
      <c r="CG713" s="126"/>
      <c r="CH713" s="126"/>
      <c r="CI713" s="126"/>
      <c r="CJ713" s="126"/>
      <c r="CK713" s="126"/>
    </row>
    <row r="714" spans="1:89" ht="9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126"/>
      <c r="BF714" s="126"/>
      <c r="BG714" s="126"/>
      <c r="BH714" s="126"/>
      <c r="BI714" s="126"/>
      <c r="BJ714" s="126"/>
      <c r="BK714" s="126"/>
      <c r="BL714" s="126"/>
      <c r="BM714" s="126"/>
      <c r="BN714" s="126"/>
      <c r="BO714" s="126"/>
      <c r="BP714" s="126"/>
      <c r="BQ714" s="126"/>
      <c r="BR714" s="126"/>
      <c r="BS714" s="126"/>
      <c r="BT714" s="126"/>
      <c r="BU714" s="126"/>
      <c r="BV714" s="126"/>
      <c r="BW714" s="126"/>
      <c r="BX714" s="126"/>
      <c r="BY714" s="126"/>
      <c r="BZ714" s="126"/>
      <c r="CA714" s="126"/>
      <c r="CB714" s="126"/>
      <c r="CC714" s="126"/>
      <c r="CD714" s="126"/>
      <c r="CE714" s="126"/>
      <c r="CF714" s="126"/>
      <c r="CG714" s="126"/>
      <c r="CH714" s="126"/>
      <c r="CI714" s="126"/>
      <c r="CJ714" s="126"/>
      <c r="CK714" s="126"/>
    </row>
    <row r="715" spans="1:89" ht="9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126"/>
      <c r="BF715" s="126"/>
      <c r="BG715" s="126"/>
      <c r="BH715" s="126"/>
      <c r="BI715" s="126"/>
      <c r="BJ715" s="126"/>
      <c r="BK715" s="126"/>
      <c r="BL715" s="126"/>
      <c r="BM715" s="126"/>
      <c r="BN715" s="126"/>
      <c r="BO715" s="126"/>
      <c r="BP715" s="126"/>
      <c r="BQ715" s="126"/>
      <c r="BR715" s="126"/>
      <c r="BS715" s="126"/>
      <c r="BT715" s="126"/>
      <c r="BU715" s="126"/>
      <c r="BV715" s="126"/>
      <c r="BW715" s="126"/>
      <c r="BX715" s="126"/>
      <c r="BY715" s="126"/>
      <c r="BZ715" s="126"/>
      <c r="CA715" s="126"/>
      <c r="CB715" s="126"/>
      <c r="CC715" s="126"/>
      <c r="CD715" s="126"/>
      <c r="CE715" s="126"/>
      <c r="CF715" s="126"/>
      <c r="CG715" s="126"/>
      <c r="CH715" s="126"/>
      <c r="CI715" s="126"/>
      <c r="CJ715" s="126"/>
      <c r="CK715" s="126"/>
    </row>
    <row r="716" spans="1:89" ht="9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126"/>
      <c r="BF716" s="126"/>
      <c r="BG716" s="126"/>
      <c r="BH716" s="126"/>
      <c r="BI716" s="126"/>
      <c r="BJ716" s="126"/>
      <c r="BK716" s="126"/>
      <c r="BL716" s="126"/>
      <c r="BM716" s="126"/>
      <c r="BN716" s="126"/>
      <c r="BO716" s="126"/>
      <c r="BP716" s="126"/>
      <c r="BQ716" s="126"/>
      <c r="BR716" s="126"/>
      <c r="BS716" s="126"/>
      <c r="BT716" s="126"/>
      <c r="BU716" s="126"/>
      <c r="BV716" s="126"/>
      <c r="BW716" s="126"/>
      <c r="BX716" s="126"/>
      <c r="BY716" s="126"/>
      <c r="BZ716" s="126"/>
      <c r="CA716" s="126"/>
      <c r="CB716" s="126"/>
      <c r="CC716" s="126"/>
      <c r="CD716" s="126"/>
      <c r="CE716" s="126"/>
      <c r="CF716" s="126"/>
      <c r="CG716" s="126"/>
      <c r="CH716" s="126"/>
      <c r="CI716" s="126"/>
      <c r="CJ716" s="126"/>
      <c r="CK716" s="126"/>
    </row>
    <row r="717" spans="1:89" ht="9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126"/>
      <c r="BF717" s="126"/>
      <c r="BG717" s="126"/>
      <c r="BH717" s="126"/>
      <c r="BI717" s="126"/>
      <c r="BJ717" s="126"/>
      <c r="BK717" s="126"/>
      <c r="BL717" s="126"/>
      <c r="BM717" s="126"/>
      <c r="BN717" s="126"/>
      <c r="BO717" s="126"/>
      <c r="BP717" s="126"/>
      <c r="BQ717" s="126"/>
      <c r="BR717" s="126"/>
      <c r="BS717" s="126"/>
      <c r="BT717" s="126"/>
      <c r="BU717" s="126"/>
      <c r="BV717" s="126"/>
      <c r="BW717" s="126"/>
      <c r="BX717" s="126"/>
      <c r="BY717" s="126"/>
      <c r="BZ717" s="126"/>
      <c r="CA717" s="126"/>
      <c r="CB717" s="126"/>
      <c r="CC717" s="126"/>
      <c r="CD717" s="126"/>
      <c r="CE717" s="126"/>
      <c r="CF717" s="126"/>
      <c r="CG717" s="126"/>
      <c r="CH717" s="126"/>
      <c r="CI717" s="126"/>
      <c r="CJ717" s="126"/>
      <c r="CK717" s="126"/>
    </row>
    <row r="718" spans="1:89" ht="9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126"/>
      <c r="BF718" s="126"/>
      <c r="BG718" s="126"/>
      <c r="BH718" s="126"/>
      <c r="BI718" s="126"/>
      <c r="BJ718" s="126"/>
      <c r="BK718" s="126"/>
      <c r="BL718" s="126"/>
      <c r="BM718" s="126"/>
      <c r="BN718" s="126"/>
      <c r="BO718" s="126"/>
      <c r="BP718" s="126"/>
      <c r="BQ718" s="126"/>
      <c r="BR718" s="126"/>
      <c r="BS718" s="126"/>
      <c r="BT718" s="126"/>
      <c r="BU718" s="126"/>
      <c r="BV718" s="126"/>
      <c r="BW718" s="126"/>
      <c r="BX718" s="126"/>
      <c r="BY718" s="126"/>
      <c r="BZ718" s="126"/>
      <c r="CA718" s="126"/>
      <c r="CB718" s="126"/>
      <c r="CC718" s="126"/>
      <c r="CD718" s="126"/>
      <c r="CE718" s="126"/>
      <c r="CF718" s="126"/>
      <c r="CG718" s="126"/>
      <c r="CH718" s="126"/>
      <c r="CI718" s="126"/>
      <c r="CJ718" s="126"/>
      <c r="CK718" s="126"/>
    </row>
    <row r="719" spans="1:89" ht="9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126"/>
      <c r="BF719" s="126"/>
      <c r="BG719" s="126"/>
      <c r="BH719" s="126"/>
      <c r="BI719" s="126"/>
      <c r="BJ719" s="126"/>
      <c r="BK719" s="126"/>
      <c r="BL719" s="126"/>
      <c r="BM719" s="126"/>
      <c r="BN719" s="126"/>
      <c r="BO719" s="126"/>
      <c r="BP719" s="126"/>
      <c r="BQ719" s="126"/>
      <c r="BR719" s="126"/>
      <c r="BS719" s="126"/>
      <c r="BT719" s="126"/>
      <c r="BU719" s="126"/>
      <c r="BV719" s="126"/>
      <c r="BW719" s="126"/>
      <c r="BX719" s="126"/>
      <c r="BY719" s="126"/>
      <c r="BZ719" s="126"/>
      <c r="CA719" s="126"/>
      <c r="CB719" s="126"/>
      <c r="CC719" s="126"/>
      <c r="CD719" s="126"/>
      <c r="CE719" s="126"/>
      <c r="CF719" s="126"/>
      <c r="CG719" s="126"/>
      <c r="CH719" s="126"/>
      <c r="CI719" s="126"/>
      <c r="CJ719" s="126"/>
      <c r="CK719" s="126"/>
    </row>
    <row r="720" spans="1:89" ht="9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126"/>
      <c r="BF720" s="126"/>
      <c r="BG720" s="126"/>
      <c r="BH720" s="126"/>
      <c r="BI720" s="126"/>
      <c r="BJ720" s="126"/>
      <c r="BK720" s="126"/>
      <c r="BL720" s="126"/>
      <c r="BM720" s="126"/>
      <c r="BN720" s="126"/>
      <c r="BO720" s="126"/>
      <c r="BP720" s="126"/>
      <c r="BQ720" s="126"/>
      <c r="BR720" s="126"/>
      <c r="BS720" s="126"/>
      <c r="BT720" s="126"/>
      <c r="BU720" s="126"/>
      <c r="BV720" s="126"/>
      <c r="BW720" s="126"/>
      <c r="BX720" s="126"/>
      <c r="BY720" s="126"/>
      <c r="BZ720" s="126"/>
      <c r="CA720" s="126"/>
      <c r="CB720" s="126"/>
      <c r="CC720" s="126"/>
      <c r="CD720" s="126"/>
      <c r="CE720" s="126"/>
      <c r="CF720" s="126"/>
      <c r="CG720" s="126"/>
      <c r="CH720" s="126"/>
      <c r="CI720" s="126"/>
      <c r="CJ720" s="126"/>
      <c r="CK720" s="126"/>
    </row>
    <row r="721" spans="1:89" ht="9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126"/>
      <c r="BF721" s="126"/>
      <c r="BG721" s="126"/>
      <c r="BH721" s="126"/>
      <c r="BI721" s="126"/>
      <c r="BJ721" s="126"/>
      <c r="BK721" s="126"/>
      <c r="BL721" s="126"/>
      <c r="BM721" s="126"/>
      <c r="BN721" s="126"/>
      <c r="BO721" s="126"/>
      <c r="BP721" s="126"/>
      <c r="BQ721" s="126"/>
      <c r="BR721" s="126"/>
      <c r="BS721" s="126"/>
      <c r="BT721" s="126"/>
      <c r="BU721" s="126"/>
      <c r="BV721" s="126"/>
      <c r="BW721" s="126"/>
      <c r="BX721" s="126"/>
      <c r="BY721" s="126"/>
      <c r="BZ721" s="126"/>
      <c r="CA721" s="126"/>
      <c r="CB721" s="126"/>
      <c r="CC721" s="126"/>
      <c r="CD721" s="126"/>
      <c r="CE721" s="126"/>
      <c r="CF721" s="126"/>
      <c r="CG721" s="126"/>
      <c r="CH721" s="126"/>
      <c r="CI721" s="126"/>
      <c r="CJ721" s="126"/>
      <c r="CK721" s="126"/>
    </row>
    <row r="722" spans="1:89" ht="9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126"/>
      <c r="BF722" s="126"/>
      <c r="BG722" s="126"/>
      <c r="BH722" s="126"/>
      <c r="BI722" s="126"/>
      <c r="BJ722" s="126"/>
      <c r="BK722" s="126"/>
      <c r="BL722" s="126"/>
      <c r="BM722" s="126"/>
      <c r="BN722" s="126"/>
      <c r="BO722" s="126"/>
      <c r="BP722" s="126"/>
      <c r="BQ722" s="126"/>
      <c r="BR722" s="126"/>
      <c r="BS722" s="126"/>
      <c r="BT722" s="126"/>
      <c r="BU722" s="126"/>
      <c r="BV722" s="126"/>
      <c r="BW722" s="126"/>
      <c r="BX722" s="126"/>
      <c r="BY722" s="126"/>
      <c r="BZ722" s="126"/>
      <c r="CA722" s="126"/>
      <c r="CB722" s="126"/>
      <c r="CC722" s="126"/>
      <c r="CD722" s="126"/>
      <c r="CE722" s="126"/>
      <c r="CF722" s="126"/>
      <c r="CG722" s="126"/>
      <c r="CH722" s="126"/>
      <c r="CI722" s="126"/>
      <c r="CJ722" s="126"/>
      <c r="CK722" s="126"/>
    </row>
    <row r="723" spans="1:89" ht="9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126"/>
      <c r="BF723" s="126"/>
      <c r="BG723" s="126"/>
      <c r="BH723" s="126"/>
      <c r="BI723" s="126"/>
      <c r="BJ723" s="126"/>
      <c r="BK723" s="126"/>
      <c r="BL723" s="126"/>
      <c r="BM723" s="126"/>
      <c r="BN723" s="126"/>
      <c r="BO723" s="126"/>
      <c r="BP723" s="126"/>
      <c r="BQ723" s="126"/>
      <c r="BR723" s="126"/>
      <c r="BS723" s="126"/>
      <c r="BT723" s="126"/>
      <c r="BU723" s="126"/>
      <c r="BV723" s="126"/>
      <c r="BW723" s="126"/>
      <c r="BX723" s="126"/>
      <c r="BY723" s="126"/>
      <c r="BZ723" s="126"/>
      <c r="CA723" s="126"/>
      <c r="CB723" s="126"/>
      <c r="CC723" s="126"/>
      <c r="CD723" s="126"/>
      <c r="CE723" s="126"/>
      <c r="CF723" s="126"/>
      <c r="CG723" s="126"/>
      <c r="CH723" s="126"/>
      <c r="CI723" s="126"/>
      <c r="CJ723" s="126"/>
      <c r="CK723" s="126"/>
    </row>
    <row r="724" spans="1:89" ht="9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126"/>
      <c r="BF724" s="126"/>
      <c r="BG724" s="126"/>
      <c r="BH724" s="126"/>
      <c r="BI724" s="126"/>
      <c r="BJ724" s="126"/>
      <c r="BK724" s="126"/>
      <c r="BL724" s="126"/>
      <c r="BM724" s="126"/>
      <c r="BN724" s="126"/>
      <c r="BO724" s="126"/>
      <c r="BP724" s="126"/>
      <c r="BQ724" s="126"/>
      <c r="BR724" s="126"/>
      <c r="BS724" s="126"/>
      <c r="BT724" s="126"/>
      <c r="BU724" s="126"/>
      <c r="BV724" s="126"/>
      <c r="BW724" s="126"/>
      <c r="BX724" s="126"/>
      <c r="BY724" s="126"/>
      <c r="BZ724" s="126"/>
      <c r="CA724" s="126"/>
      <c r="CB724" s="126"/>
      <c r="CC724" s="126"/>
      <c r="CD724" s="126"/>
      <c r="CE724" s="126"/>
      <c r="CF724" s="126"/>
      <c r="CG724" s="126"/>
      <c r="CH724" s="126"/>
      <c r="CI724" s="126"/>
      <c r="CJ724" s="126"/>
      <c r="CK724" s="126"/>
    </row>
    <row r="725" spans="1:89" ht="9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126"/>
      <c r="BF725" s="126"/>
      <c r="BG725" s="126"/>
      <c r="BH725" s="126"/>
      <c r="BI725" s="126"/>
      <c r="BJ725" s="126"/>
      <c r="BK725" s="126"/>
      <c r="BL725" s="126"/>
      <c r="BM725" s="126"/>
      <c r="BN725" s="126"/>
      <c r="BO725" s="126"/>
      <c r="BP725" s="126"/>
      <c r="BQ725" s="126"/>
      <c r="BR725" s="126"/>
      <c r="BS725" s="126"/>
      <c r="BT725" s="126"/>
      <c r="BU725" s="126"/>
      <c r="BV725" s="126"/>
      <c r="BW725" s="126"/>
      <c r="BX725" s="126"/>
      <c r="BY725" s="126"/>
      <c r="BZ725" s="126"/>
      <c r="CA725" s="126"/>
      <c r="CB725" s="126"/>
      <c r="CC725" s="126"/>
      <c r="CD725" s="126"/>
      <c r="CE725" s="126"/>
      <c r="CF725" s="126"/>
      <c r="CG725" s="126"/>
      <c r="CH725" s="126"/>
      <c r="CI725" s="126"/>
      <c r="CJ725" s="126"/>
      <c r="CK725" s="126"/>
    </row>
    <row r="726" spans="1:89" ht="9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126"/>
      <c r="BF726" s="126"/>
      <c r="BG726" s="126"/>
      <c r="BH726" s="126"/>
      <c r="BI726" s="126"/>
      <c r="BJ726" s="126"/>
      <c r="BK726" s="126"/>
      <c r="BL726" s="126"/>
      <c r="BM726" s="126"/>
      <c r="BN726" s="126"/>
      <c r="BO726" s="126"/>
      <c r="BP726" s="126"/>
      <c r="BQ726" s="126"/>
      <c r="BR726" s="126"/>
      <c r="BS726" s="126"/>
      <c r="BT726" s="126"/>
      <c r="BU726" s="126"/>
      <c r="BV726" s="126"/>
      <c r="BW726" s="126"/>
      <c r="BX726" s="126"/>
      <c r="BY726" s="126"/>
      <c r="BZ726" s="126"/>
      <c r="CA726" s="126"/>
      <c r="CB726" s="126"/>
      <c r="CC726" s="126"/>
      <c r="CD726" s="126"/>
      <c r="CE726" s="126"/>
      <c r="CF726" s="126"/>
      <c r="CG726" s="126"/>
      <c r="CH726" s="126"/>
      <c r="CI726" s="126"/>
      <c r="CJ726" s="126"/>
      <c r="CK726" s="126"/>
    </row>
    <row r="727" spans="1:89" ht="9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126"/>
      <c r="BF727" s="126"/>
      <c r="BG727" s="126"/>
      <c r="BH727" s="126"/>
      <c r="BI727" s="126"/>
      <c r="BJ727" s="126"/>
      <c r="BK727" s="126"/>
      <c r="BL727" s="126"/>
      <c r="BM727" s="126"/>
      <c r="BN727" s="126"/>
      <c r="BO727" s="126"/>
      <c r="BP727" s="126"/>
      <c r="BQ727" s="126"/>
      <c r="BR727" s="126"/>
      <c r="BS727" s="126"/>
      <c r="BT727" s="126"/>
      <c r="BU727" s="126"/>
      <c r="BV727" s="126"/>
      <c r="BW727" s="126"/>
      <c r="BX727" s="126"/>
      <c r="BY727" s="126"/>
      <c r="BZ727" s="126"/>
      <c r="CA727" s="126"/>
      <c r="CB727" s="126"/>
      <c r="CC727" s="126"/>
      <c r="CD727" s="126"/>
      <c r="CE727" s="126"/>
      <c r="CF727" s="126"/>
      <c r="CG727" s="126"/>
      <c r="CH727" s="126"/>
      <c r="CI727" s="126"/>
      <c r="CJ727" s="126"/>
      <c r="CK727" s="126"/>
    </row>
    <row r="728" spans="1:89" ht="9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126"/>
      <c r="BF728" s="126"/>
      <c r="BG728" s="126"/>
      <c r="BH728" s="126"/>
      <c r="BI728" s="126"/>
      <c r="BJ728" s="126"/>
      <c r="BK728" s="126"/>
      <c r="BL728" s="126"/>
      <c r="BM728" s="126"/>
      <c r="BN728" s="126"/>
      <c r="BO728" s="126"/>
      <c r="BP728" s="126"/>
      <c r="BQ728" s="126"/>
      <c r="BR728" s="126"/>
      <c r="BS728" s="126"/>
      <c r="BT728" s="126"/>
      <c r="BU728" s="126"/>
      <c r="BV728" s="126"/>
      <c r="BW728" s="126"/>
      <c r="BX728" s="126"/>
      <c r="BY728" s="126"/>
      <c r="BZ728" s="126"/>
      <c r="CA728" s="126"/>
      <c r="CB728" s="126"/>
      <c r="CC728" s="126"/>
      <c r="CD728" s="126"/>
      <c r="CE728" s="126"/>
      <c r="CF728" s="126"/>
      <c r="CG728" s="126"/>
      <c r="CH728" s="126"/>
      <c r="CI728" s="126"/>
      <c r="CJ728" s="126"/>
      <c r="CK728" s="126"/>
    </row>
    <row r="729" spans="1:89" ht="9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126"/>
      <c r="BF729" s="126"/>
      <c r="BG729" s="126"/>
      <c r="BH729" s="126"/>
      <c r="BI729" s="126"/>
      <c r="BJ729" s="126"/>
      <c r="BK729" s="126"/>
      <c r="BL729" s="126"/>
      <c r="BM729" s="126"/>
      <c r="BN729" s="126"/>
      <c r="BO729" s="126"/>
      <c r="BP729" s="126"/>
      <c r="BQ729" s="126"/>
      <c r="BR729" s="126"/>
      <c r="BS729" s="126"/>
      <c r="BT729" s="126"/>
      <c r="BU729" s="126"/>
      <c r="BV729" s="126"/>
      <c r="BW729" s="126"/>
      <c r="BX729" s="126"/>
      <c r="BY729" s="126"/>
      <c r="BZ729" s="126"/>
      <c r="CA729" s="126"/>
      <c r="CB729" s="126"/>
      <c r="CC729" s="126"/>
      <c r="CD729" s="126"/>
      <c r="CE729" s="126"/>
      <c r="CF729" s="126"/>
      <c r="CG729" s="126"/>
      <c r="CH729" s="126"/>
      <c r="CI729" s="126"/>
      <c r="CJ729" s="126"/>
      <c r="CK729" s="126"/>
    </row>
    <row r="730" spans="1:89" ht="9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126"/>
      <c r="BF730" s="126"/>
      <c r="BG730" s="126"/>
      <c r="BH730" s="126"/>
      <c r="BI730" s="126"/>
      <c r="BJ730" s="126"/>
      <c r="BK730" s="126"/>
      <c r="BL730" s="126"/>
      <c r="BM730" s="126"/>
      <c r="BN730" s="126"/>
      <c r="BO730" s="126"/>
      <c r="BP730" s="126"/>
      <c r="BQ730" s="126"/>
      <c r="BR730" s="126"/>
      <c r="BS730" s="126"/>
      <c r="BT730" s="126"/>
      <c r="BU730" s="126"/>
      <c r="BV730" s="126"/>
      <c r="BW730" s="126"/>
      <c r="BX730" s="126"/>
      <c r="BY730" s="126"/>
      <c r="BZ730" s="126"/>
      <c r="CA730" s="126"/>
      <c r="CB730" s="126"/>
      <c r="CC730" s="126"/>
      <c r="CD730" s="126"/>
      <c r="CE730" s="126"/>
      <c r="CF730" s="126"/>
      <c r="CG730" s="126"/>
      <c r="CH730" s="126"/>
      <c r="CI730" s="126"/>
      <c r="CJ730" s="126"/>
      <c r="CK730" s="126"/>
    </row>
    <row r="731" spans="1:89" ht="9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126"/>
      <c r="BF731" s="126"/>
      <c r="BG731" s="126"/>
      <c r="BH731" s="126"/>
      <c r="BI731" s="126"/>
      <c r="BJ731" s="126"/>
      <c r="BK731" s="126"/>
      <c r="BL731" s="126"/>
      <c r="BM731" s="126"/>
      <c r="BN731" s="126"/>
      <c r="BO731" s="126"/>
      <c r="BP731" s="126"/>
      <c r="BQ731" s="126"/>
      <c r="BR731" s="126"/>
      <c r="BS731" s="126"/>
      <c r="BT731" s="126"/>
      <c r="BU731" s="126"/>
      <c r="BV731" s="126"/>
      <c r="BW731" s="126"/>
      <c r="BX731" s="126"/>
      <c r="BY731" s="126"/>
      <c r="BZ731" s="126"/>
      <c r="CA731" s="126"/>
      <c r="CB731" s="126"/>
      <c r="CC731" s="126"/>
      <c r="CD731" s="126"/>
      <c r="CE731" s="126"/>
      <c r="CF731" s="126"/>
      <c r="CG731" s="126"/>
      <c r="CH731" s="126"/>
      <c r="CI731" s="126"/>
      <c r="CJ731" s="126"/>
      <c r="CK731" s="126"/>
    </row>
    <row r="732" spans="1:89" ht="9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126"/>
      <c r="BF732" s="126"/>
      <c r="BG732" s="126"/>
      <c r="BH732" s="126"/>
      <c r="BI732" s="126"/>
      <c r="BJ732" s="126"/>
      <c r="BK732" s="126"/>
      <c r="BL732" s="126"/>
      <c r="BM732" s="126"/>
      <c r="BN732" s="126"/>
      <c r="BO732" s="126"/>
      <c r="BP732" s="126"/>
      <c r="BQ732" s="126"/>
      <c r="BR732" s="126"/>
      <c r="BS732" s="126"/>
      <c r="BT732" s="126"/>
      <c r="BU732" s="126"/>
      <c r="BV732" s="126"/>
      <c r="BW732" s="126"/>
      <c r="BX732" s="126"/>
      <c r="BY732" s="126"/>
      <c r="BZ732" s="126"/>
      <c r="CA732" s="126"/>
      <c r="CB732" s="126"/>
      <c r="CC732" s="126"/>
      <c r="CD732" s="126"/>
      <c r="CE732" s="126"/>
      <c r="CF732" s="126"/>
      <c r="CG732" s="126"/>
      <c r="CH732" s="126"/>
      <c r="CI732" s="126"/>
      <c r="CJ732" s="126"/>
      <c r="CK732" s="126"/>
    </row>
    <row r="733" spans="1:89" ht="9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  <c r="BD733" s="126"/>
      <c r="BE733" s="126"/>
      <c r="BF733" s="126"/>
      <c r="BG733" s="126"/>
      <c r="BH733" s="126"/>
      <c r="BI733" s="126"/>
      <c r="BJ733" s="126"/>
      <c r="BK733" s="126"/>
      <c r="BL733" s="126"/>
      <c r="BM733" s="126"/>
      <c r="BN733" s="126"/>
      <c r="BO733" s="126"/>
      <c r="BP733" s="126"/>
      <c r="BQ733" s="126"/>
      <c r="BR733" s="126"/>
      <c r="BS733" s="126"/>
      <c r="BT733" s="126"/>
      <c r="BU733" s="126"/>
      <c r="BV733" s="126"/>
      <c r="BW733" s="126"/>
      <c r="BX733" s="126"/>
      <c r="BY733" s="126"/>
      <c r="BZ733" s="126"/>
      <c r="CA733" s="126"/>
      <c r="CB733" s="126"/>
      <c r="CC733" s="126"/>
      <c r="CD733" s="126"/>
      <c r="CE733" s="126"/>
      <c r="CF733" s="126"/>
      <c r="CG733" s="126"/>
      <c r="CH733" s="126"/>
      <c r="CI733" s="126"/>
      <c r="CJ733" s="126"/>
      <c r="CK733" s="126"/>
    </row>
    <row r="734" spans="1:89" ht="9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  <c r="BD734" s="126"/>
      <c r="BE734" s="126"/>
      <c r="BF734" s="126"/>
      <c r="BG734" s="126"/>
      <c r="BH734" s="126"/>
      <c r="BI734" s="126"/>
      <c r="BJ734" s="126"/>
      <c r="BK734" s="126"/>
      <c r="BL734" s="126"/>
      <c r="BM734" s="126"/>
      <c r="BN734" s="126"/>
      <c r="BO734" s="126"/>
      <c r="BP734" s="126"/>
      <c r="BQ734" s="126"/>
      <c r="BR734" s="126"/>
      <c r="BS734" s="126"/>
      <c r="BT734" s="126"/>
      <c r="BU734" s="126"/>
      <c r="BV734" s="126"/>
      <c r="BW734" s="126"/>
      <c r="BX734" s="126"/>
      <c r="BY734" s="126"/>
      <c r="BZ734" s="126"/>
      <c r="CA734" s="126"/>
      <c r="CB734" s="126"/>
      <c r="CC734" s="126"/>
      <c r="CD734" s="126"/>
      <c r="CE734" s="126"/>
      <c r="CF734" s="126"/>
      <c r="CG734" s="126"/>
      <c r="CH734" s="126"/>
      <c r="CI734" s="126"/>
      <c r="CJ734" s="126"/>
      <c r="CK734" s="126"/>
    </row>
    <row r="735" spans="1:89" ht="9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  <c r="BD735" s="126"/>
      <c r="BE735" s="126"/>
      <c r="BF735" s="126"/>
      <c r="BG735" s="126"/>
      <c r="BH735" s="126"/>
      <c r="BI735" s="126"/>
      <c r="BJ735" s="126"/>
      <c r="BK735" s="126"/>
      <c r="BL735" s="126"/>
      <c r="BM735" s="126"/>
      <c r="BN735" s="126"/>
      <c r="BO735" s="126"/>
      <c r="BP735" s="126"/>
      <c r="BQ735" s="126"/>
      <c r="BR735" s="126"/>
      <c r="BS735" s="126"/>
      <c r="BT735" s="126"/>
      <c r="BU735" s="126"/>
      <c r="BV735" s="126"/>
      <c r="BW735" s="126"/>
      <c r="BX735" s="126"/>
      <c r="BY735" s="126"/>
      <c r="BZ735" s="126"/>
      <c r="CA735" s="126"/>
      <c r="CB735" s="126"/>
      <c r="CC735" s="126"/>
      <c r="CD735" s="126"/>
      <c r="CE735" s="126"/>
      <c r="CF735" s="126"/>
      <c r="CG735" s="126"/>
      <c r="CH735" s="126"/>
      <c r="CI735" s="126"/>
      <c r="CJ735" s="126"/>
      <c r="CK735" s="126"/>
    </row>
    <row r="736" spans="1:89" ht="9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  <c r="BD736" s="126"/>
      <c r="BE736" s="126"/>
      <c r="BF736" s="126"/>
      <c r="BG736" s="126"/>
      <c r="BH736" s="126"/>
      <c r="BI736" s="126"/>
      <c r="BJ736" s="126"/>
      <c r="BK736" s="126"/>
      <c r="BL736" s="126"/>
      <c r="BM736" s="126"/>
      <c r="BN736" s="126"/>
      <c r="BO736" s="126"/>
      <c r="BP736" s="126"/>
      <c r="BQ736" s="126"/>
      <c r="BR736" s="126"/>
      <c r="BS736" s="126"/>
      <c r="BT736" s="126"/>
      <c r="BU736" s="126"/>
      <c r="BV736" s="126"/>
      <c r="BW736" s="126"/>
      <c r="BX736" s="126"/>
      <c r="BY736" s="126"/>
      <c r="BZ736" s="126"/>
      <c r="CA736" s="126"/>
      <c r="CB736" s="126"/>
      <c r="CC736" s="126"/>
      <c r="CD736" s="126"/>
      <c r="CE736" s="126"/>
      <c r="CF736" s="126"/>
      <c r="CG736" s="126"/>
      <c r="CH736" s="126"/>
      <c r="CI736" s="126"/>
      <c r="CJ736" s="126"/>
      <c r="CK736" s="126"/>
    </row>
    <row r="737" spans="1:89" ht="9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  <c r="BD737" s="126"/>
      <c r="BE737" s="126"/>
      <c r="BF737" s="126"/>
      <c r="BG737" s="126"/>
      <c r="BH737" s="126"/>
      <c r="BI737" s="126"/>
      <c r="BJ737" s="126"/>
      <c r="BK737" s="126"/>
      <c r="BL737" s="126"/>
      <c r="BM737" s="126"/>
      <c r="BN737" s="126"/>
      <c r="BO737" s="126"/>
      <c r="BP737" s="126"/>
      <c r="BQ737" s="126"/>
      <c r="BR737" s="126"/>
      <c r="BS737" s="126"/>
      <c r="BT737" s="126"/>
      <c r="BU737" s="126"/>
      <c r="BV737" s="126"/>
      <c r="BW737" s="126"/>
      <c r="BX737" s="126"/>
      <c r="BY737" s="126"/>
      <c r="BZ737" s="126"/>
      <c r="CA737" s="126"/>
      <c r="CB737" s="126"/>
      <c r="CC737" s="126"/>
      <c r="CD737" s="126"/>
      <c r="CE737" s="126"/>
      <c r="CF737" s="126"/>
      <c r="CG737" s="126"/>
      <c r="CH737" s="126"/>
      <c r="CI737" s="126"/>
      <c r="CJ737" s="126"/>
      <c r="CK737" s="126"/>
    </row>
    <row r="738" spans="1:89" ht="9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  <c r="BD738" s="126"/>
      <c r="BE738" s="126"/>
      <c r="BF738" s="126"/>
      <c r="BG738" s="126"/>
      <c r="BH738" s="126"/>
      <c r="BI738" s="126"/>
      <c r="BJ738" s="126"/>
      <c r="BK738" s="126"/>
      <c r="BL738" s="126"/>
      <c r="BM738" s="126"/>
      <c r="BN738" s="126"/>
      <c r="BO738" s="126"/>
      <c r="BP738" s="126"/>
      <c r="BQ738" s="126"/>
      <c r="BR738" s="126"/>
      <c r="BS738" s="126"/>
      <c r="BT738" s="126"/>
      <c r="BU738" s="126"/>
      <c r="BV738" s="126"/>
      <c r="BW738" s="126"/>
      <c r="BX738" s="126"/>
      <c r="BY738" s="126"/>
      <c r="BZ738" s="126"/>
      <c r="CA738" s="126"/>
      <c r="CB738" s="126"/>
      <c r="CC738" s="126"/>
      <c r="CD738" s="126"/>
      <c r="CE738" s="126"/>
      <c r="CF738" s="126"/>
      <c r="CG738" s="126"/>
      <c r="CH738" s="126"/>
      <c r="CI738" s="126"/>
      <c r="CJ738" s="126"/>
      <c r="CK738" s="126"/>
    </row>
    <row r="739" spans="1:89" ht="9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  <c r="BD739" s="126"/>
      <c r="BE739" s="126"/>
      <c r="BF739" s="126"/>
      <c r="BG739" s="126"/>
      <c r="BH739" s="126"/>
      <c r="BI739" s="126"/>
      <c r="BJ739" s="126"/>
      <c r="BK739" s="126"/>
      <c r="BL739" s="126"/>
      <c r="BM739" s="126"/>
      <c r="BN739" s="126"/>
      <c r="BO739" s="126"/>
      <c r="BP739" s="126"/>
      <c r="BQ739" s="126"/>
      <c r="BR739" s="126"/>
      <c r="BS739" s="126"/>
      <c r="BT739" s="126"/>
      <c r="BU739" s="126"/>
      <c r="BV739" s="126"/>
      <c r="BW739" s="126"/>
      <c r="BX739" s="126"/>
      <c r="BY739" s="126"/>
      <c r="BZ739" s="126"/>
      <c r="CA739" s="126"/>
      <c r="CB739" s="126"/>
      <c r="CC739" s="126"/>
      <c r="CD739" s="126"/>
      <c r="CE739" s="126"/>
      <c r="CF739" s="126"/>
      <c r="CG739" s="126"/>
      <c r="CH739" s="126"/>
      <c r="CI739" s="126"/>
      <c r="CJ739" s="126"/>
      <c r="CK739" s="126"/>
    </row>
    <row r="740" spans="1:89" ht="9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  <c r="BD740" s="126"/>
      <c r="BE740" s="126"/>
      <c r="BF740" s="126"/>
      <c r="BG740" s="126"/>
      <c r="BH740" s="126"/>
      <c r="BI740" s="126"/>
      <c r="BJ740" s="126"/>
      <c r="BK740" s="126"/>
      <c r="BL740" s="126"/>
      <c r="BM740" s="126"/>
      <c r="BN740" s="126"/>
      <c r="BO740" s="126"/>
      <c r="BP740" s="126"/>
      <c r="BQ740" s="126"/>
      <c r="BR740" s="126"/>
      <c r="BS740" s="126"/>
      <c r="BT740" s="126"/>
      <c r="BU740" s="126"/>
      <c r="BV740" s="126"/>
      <c r="BW740" s="126"/>
      <c r="BX740" s="126"/>
      <c r="BY740" s="126"/>
      <c r="BZ740" s="126"/>
      <c r="CA740" s="126"/>
      <c r="CB740" s="126"/>
      <c r="CC740" s="126"/>
      <c r="CD740" s="126"/>
      <c r="CE740" s="126"/>
      <c r="CF740" s="126"/>
      <c r="CG740" s="126"/>
      <c r="CH740" s="126"/>
      <c r="CI740" s="126"/>
      <c r="CJ740" s="126"/>
      <c r="CK740" s="126"/>
    </row>
    <row r="741" spans="1:89" ht="9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  <c r="BD741" s="126"/>
      <c r="BE741" s="126"/>
      <c r="BF741" s="126"/>
      <c r="BG741" s="126"/>
      <c r="BH741" s="126"/>
      <c r="BI741" s="126"/>
      <c r="BJ741" s="126"/>
      <c r="BK741" s="126"/>
      <c r="BL741" s="126"/>
      <c r="BM741" s="126"/>
      <c r="BN741" s="126"/>
      <c r="BO741" s="126"/>
      <c r="BP741" s="126"/>
      <c r="BQ741" s="126"/>
      <c r="BR741" s="126"/>
      <c r="BS741" s="126"/>
      <c r="BT741" s="126"/>
      <c r="BU741" s="126"/>
      <c r="BV741" s="126"/>
      <c r="BW741" s="126"/>
      <c r="BX741" s="126"/>
      <c r="BY741" s="126"/>
      <c r="BZ741" s="126"/>
      <c r="CA741" s="126"/>
      <c r="CB741" s="126"/>
      <c r="CC741" s="126"/>
      <c r="CD741" s="126"/>
      <c r="CE741" s="126"/>
      <c r="CF741" s="126"/>
      <c r="CG741" s="126"/>
      <c r="CH741" s="126"/>
      <c r="CI741" s="126"/>
      <c r="CJ741" s="126"/>
      <c r="CK741" s="126"/>
    </row>
    <row r="742" spans="1:89" ht="9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  <c r="BD742" s="126"/>
      <c r="BE742" s="126"/>
      <c r="BF742" s="126"/>
      <c r="BG742" s="126"/>
      <c r="BH742" s="126"/>
      <c r="BI742" s="126"/>
      <c r="BJ742" s="126"/>
      <c r="BK742" s="126"/>
      <c r="BL742" s="126"/>
      <c r="BM742" s="126"/>
      <c r="BN742" s="126"/>
      <c r="BO742" s="126"/>
      <c r="BP742" s="126"/>
      <c r="BQ742" s="126"/>
      <c r="BR742" s="126"/>
      <c r="BS742" s="126"/>
      <c r="BT742" s="126"/>
      <c r="BU742" s="126"/>
      <c r="BV742" s="126"/>
      <c r="BW742" s="126"/>
      <c r="BX742" s="126"/>
      <c r="BY742" s="126"/>
      <c r="BZ742" s="126"/>
      <c r="CA742" s="126"/>
      <c r="CB742" s="126"/>
      <c r="CC742" s="126"/>
      <c r="CD742" s="126"/>
      <c r="CE742" s="126"/>
      <c r="CF742" s="126"/>
      <c r="CG742" s="126"/>
      <c r="CH742" s="126"/>
      <c r="CI742" s="126"/>
      <c r="CJ742" s="126"/>
      <c r="CK742" s="126"/>
    </row>
    <row r="743" spans="1:89" ht="9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  <c r="BD743" s="126"/>
      <c r="BE743" s="126"/>
      <c r="BF743" s="126"/>
      <c r="BG743" s="126"/>
      <c r="BH743" s="126"/>
      <c r="BI743" s="126"/>
      <c r="BJ743" s="126"/>
      <c r="BK743" s="126"/>
      <c r="BL743" s="126"/>
      <c r="BM743" s="126"/>
      <c r="BN743" s="126"/>
      <c r="BO743" s="126"/>
      <c r="BP743" s="126"/>
      <c r="BQ743" s="126"/>
      <c r="BR743" s="126"/>
      <c r="BS743" s="126"/>
      <c r="BT743" s="126"/>
      <c r="BU743" s="126"/>
      <c r="BV743" s="126"/>
      <c r="BW743" s="126"/>
      <c r="BX743" s="126"/>
      <c r="BY743" s="126"/>
      <c r="BZ743" s="126"/>
      <c r="CA743" s="126"/>
      <c r="CB743" s="126"/>
      <c r="CC743" s="126"/>
      <c r="CD743" s="126"/>
      <c r="CE743" s="126"/>
      <c r="CF743" s="126"/>
      <c r="CG743" s="126"/>
      <c r="CH743" s="126"/>
      <c r="CI743" s="126"/>
      <c r="CJ743" s="126"/>
      <c r="CK743" s="126"/>
    </row>
    <row r="744" spans="1:89" ht="9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  <c r="BD744" s="126"/>
      <c r="BE744" s="126"/>
      <c r="BF744" s="126"/>
      <c r="BG744" s="126"/>
      <c r="BH744" s="126"/>
      <c r="BI744" s="126"/>
      <c r="BJ744" s="126"/>
      <c r="BK744" s="126"/>
      <c r="BL744" s="126"/>
      <c r="BM744" s="126"/>
      <c r="BN744" s="126"/>
      <c r="BO744" s="126"/>
      <c r="BP744" s="126"/>
      <c r="BQ744" s="126"/>
      <c r="BR744" s="126"/>
      <c r="BS744" s="126"/>
      <c r="BT744" s="126"/>
      <c r="BU744" s="126"/>
      <c r="BV744" s="126"/>
      <c r="BW744" s="126"/>
      <c r="BX744" s="126"/>
      <c r="BY744" s="126"/>
      <c r="BZ744" s="126"/>
      <c r="CA744" s="126"/>
      <c r="CB744" s="126"/>
      <c r="CC744" s="126"/>
      <c r="CD744" s="126"/>
      <c r="CE744" s="126"/>
      <c r="CF744" s="126"/>
      <c r="CG744" s="126"/>
      <c r="CH744" s="126"/>
      <c r="CI744" s="126"/>
      <c r="CJ744" s="126"/>
      <c r="CK744" s="126"/>
    </row>
    <row r="745" spans="1:89" ht="9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  <c r="BD745" s="126"/>
      <c r="BE745" s="126"/>
      <c r="BF745" s="126"/>
      <c r="BG745" s="126"/>
      <c r="BH745" s="126"/>
      <c r="BI745" s="126"/>
      <c r="BJ745" s="126"/>
      <c r="BK745" s="126"/>
      <c r="BL745" s="126"/>
      <c r="BM745" s="126"/>
      <c r="BN745" s="126"/>
      <c r="BO745" s="126"/>
      <c r="BP745" s="126"/>
      <c r="BQ745" s="126"/>
      <c r="BR745" s="126"/>
      <c r="BS745" s="126"/>
      <c r="BT745" s="126"/>
      <c r="BU745" s="126"/>
      <c r="BV745" s="126"/>
      <c r="BW745" s="126"/>
      <c r="BX745" s="126"/>
      <c r="BY745" s="126"/>
      <c r="BZ745" s="126"/>
      <c r="CA745" s="126"/>
      <c r="CB745" s="126"/>
      <c r="CC745" s="126"/>
      <c r="CD745" s="126"/>
      <c r="CE745" s="126"/>
      <c r="CF745" s="126"/>
      <c r="CG745" s="126"/>
      <c r="CH745" s="126"/>
      <c r="CI745" s="126"/>
      <c r="CJ745" s="126"/>
      <c r="CK745" s="126"/>
    </row>
    <row r="746" spans="1:89" ht="9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  <c r="BD746" s="126"/>
      <c r="BE746" s="126"/>
      <c r="BF746" s="126"/>
      <c r="BG746" s="126"/>
      <c r="BH746" s="126"/>
      <c r="BI746" s="126"/>
      <c r="BJ746" s="126"/>
      <c r="BK746" s="126"/>
      <c r="BL746" s="126"/>
      <c r="BM746" s="126"/>
      <c r="BN746" s="126"/>
      <c r="BO746" s="126"/>
      <c r="BP746" s="126"/>
      <c r="BQ746" s="126"/>
      <c r="BR746" s="126"/>
      <c r="BS746" s="126"/>
      <c r="BT746" s="126"/>
      <c r="BU746" s="126"/>
      <c r="BV746" s="126"/>
      <c r="BW746" s="126"/>
      <c r="BX746" s="126"/>
      <c r="BY746" s="126"/>
      <c r="BZ746" s="126"/>
      <c r="CA746" s="126"/>
      <c r="CB746" s="126"/>
      <c r="CC746" s="126"/>
      <c r="CD746" s="126"/>
      <c r="CE746" s="126"/>
      <c r="CF746" s="126"/>
      <c r="CG746" s="126"/>
      <c r="CH746" s="126"/>
      <c r="CI746" s="126"/>
      <c r="CJ746" s="126"/>
      <c r="CK746" s="126"/>
    </row>
    <row r="747" spans="1:89" ht="9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  <c r="BD747" s="126"/>
      <c r="BE747" s="126"/>
      <c r="BF747" s="126"/>
      <c r="BG747" s="126"/>
      <c r="BH747" s="126"/>
      <c r="BI747" s="126"/>
      <c r="BJ747" s="126"/>
      <c r="BK747" s="126"/>
      <c r="BL747" s="126"/>
      <c r="BM747" s="126"/>
      <c r="BN747" s="126"/>
      <c r="BO747" s="126"/>
      <c r="BP747" s="126"/>
      <c r="BQ747" s="126"/>
      <c r="BR747" s="126"/>
      <c r="BS747" s="126"/>
      <c r="BT747" s="126"/>
      <c r="BU747" s="126"/>
      <c r="BV747" s="126"/>
      <c r="BW747" s="126"/>
      <c r="BX747" s="126"/>
      <c r="BY747" s="126"/>
      <c r="BZ747" s="126"/>
      <c r="CA747" s="126"/>
      <c r="CB747" s="126"/>
      <c r="CC747" s="126"/>
      <c r="CD747" s="126"/>
      <c r="CE747" s="126"/>
      <c r="CF747" s="126"/>
      <c r="CG747" s="126"/>
      <c r="CH747" s="126"/>
      <c r="CI747" s="126"/>
      <c r="CJ747" s="126"/>
      <c r="CK747" s="126"/>
    </row>
    <row r="748" spans="1:89" ht="9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  <c r="BD748" s="126"/>
      <c r="BE748" s="126"/>
      <c r="BF748" s="126"/>
      <c r="BG748" s="126"/>
      <c r="BH748" s="126"/>
      <c r="BI748" s="126"/>
      <c r="BJ748" s="126"/>
      <c r="BK748" s="126"/>
      <c r="BL748" s="126"/>
      <c r="BM748" s="126"/>
      <c r="BN748" s="126"/>
      <c r="BO748" s="126"/>
      <c r="BP748" s="126"/>
      <c r="BQ748" s="126"/>
      <c r="BR748" s="126"/>
      <c r="BS748" s="126"/>
      <c r="BT748" s="126"/>
      <c r="BU748" s="126"/>
      <c r="BV748" s="126"/>
      <c r="BW748" s="126"/>
      <c r="BX748" s="126"/>
      <c r="BY748" s="126"/>
      <c r="BZ748" s="126"/>
      <c r="CA748" s="126"/>
      <c r="CB748" s="126"/>
      <c r="CC748" s="126"/>
      <c r="CD748" s="126"/>
      <c r="CE748" s="126"/>
      <c r="CF748" s="126"/>
      <c r="CG748" s="126"/>
      <c r="CH748" s="126"/>
      <c r="CI748" s="126"/>
      <c r="CJ748" s="126"/>
      <c r="CK748" s="126"/>
    </row>
    <row r="749" spans="1:89" ht="9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  <c r="BD749" s="126"/>
      <c r="BE749" s="126"/>
      <c r="BF749" s="126"/>
      <c r="BG749" s="126"/>
      <c r="BH749" s="126"/>
      <c r="BI749" s="126"/>
      <c r="BJ749" s="126"/>
      <c r="BK749" s="126"/>
      <c r="BL749" s="126"/>
      <c r="BM749" s="126"/>
      <c r="BN749" s="126"/>
      <c r="BO749" s="126"/>
      <c r="BP749" s="126"/>
      <c r="BQ749" s="126"/>
      <c r="BR749" s="126"/>
      <c r="BS749" s="126"/>
      <c r="BT749" s="126"/>
      <c r="BU749" s="126"/>
      <c r="BV749" s="126"/>
      <c r="BW749" s="126"/>
      <c r="BX749" s="126"/>
      <c r="BY749" s="126"/>
      <c r="BZ749" s="126"/>
      <c r="CA749" s="126"/>
      <c r="CB749" s="126"/>
      <c r="CC749" s="126"/>
      <c r="CD749" s="126"/>
      <c r="CE749" s="126"/>
      <c r="CF749" s="126"/>
      <c r="CG749" s="126"/>
      <c r="CH749" s="126"/>
      <c r="CI749" s="126"/>
      <c r="CJ749" s="126"/>
      <c r="CK749" s="126"/>
    </row>
    <row r="750" spans="1:89" ht="9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  <c r="BD750" s="126"/>
      <c r="BE750" s="126"/>
      <c r="BF750" s="126"/>
      <c r="BG750" s="126"/>
      <c r="BH750" s="126"/>
      <c r="BI750" s="126"/>
      <c r="BJ750" s="126"/>
      <c r="BK750" s="126"/>
      <c r="BL750" s="126"/>
      <c r="BM750" s="126"/>
      <c r="BN750" s="126"/>
      <c r="BO750" s="126"/>
      <c r="BP750" s="126"/>
      <c r="BQ750" s="126"/>
      <c r="BR750" s="126"/>
      <c r="BS750" s="126"/>
      <c r="BT750" s="126"/>
      <c r="BU750" s="126"/>
      <c r="BV750" s="126"/>
      <c r="BW750" s="126"/>
      <c r="BX750" s="126"/>
      <c r="BY750" s="126"/>
      <c r="BZ750" s="126"/>
      <c r="CA750" s="126"/>
      <c r="CB750" s="126"/>
      <c r="CC750" s="126"/>
      <c r="CD750" s="126"/>
      <c r="CE750" s="126"/>
      <c r="CF750" s="126"/>
      <c r="CG750" s="126"/>
      <c r="CH750" s="126"/>
      <c r="CI750" s="126"/>
      <c r="CJ750" s="126"/>
      <c r="CK750" s="126"/>
    </row>
    <row r="751" spans="1:89" ht="9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  <c r="BD751" s="126"/>
      <c r="BE751" s="126"/>
      <c r="BF751" s="126"/>
      <c r="BG751" s="126"/>
      <c r="BH751" s="126"/>
      <c r="BI751" s="126"/>
      <c r="BJ751" s="126"/>
      <c r="BK751" s="126"/>
      <c r="BL751" s="126"/>
      <c r="BM751" s="126"/>
      <c r="BN751" s="126"/>
      <c r="BO751" s="126"/>
      <c r="BP751" s="126"/>
      <c r="BQ751" s="126"/>
      <c r="BR751" s="126"/>
      <c r="BS751" s="126"/>
      <c r="BT751" s="126"/>
      <c r="BU751" s="126"/>
      <c r="BV751" s="126"/>
      <c r="BW751" s="126"/>
      <c r="BX751" s="126"/>
      <c r="BY751" s="126"/>
      <c r="BZ751" s="126"/>
      <c r="CA751" s="126"/>
      <c r="CB751" s="126"/>
      <c r="CC751" s="126"/>
      <c r="CD751" s="126"/>
      <c r="CE751" s="126"/>
      <c r="CF751" s="126"/>
      <c r="CG751" s="126"/>
      <c r="CH751" s="126"/>
      <c r="CI751" s="126"/>
      <c r="CJ751" s="126"/>
      <c r="CK751" s="126"/>
    </row>
    <row r="752" spans="1:89" ht="9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  <c r="BD752" s="126"/>
      <c r="BE752" s="126"/>
      <c r="BF752" s="126"/>
      <c r="BG752" s="126"/>
      <c r="BH752" s="126"/>
      <c r="BI752" s="126"/>
      <c r="BJ752" s="126"/>
      <c r="BK752" s="126"/>
      <c r="BL752" s="126"/>
      <c r="BM752" s="126"/>
      <c r="BN752" s="126"/>
      <c r="BO752" s="126"/>
      <c r="BP752" s="126"/>
      <c r="BQ752" s="126"/>
      <c r="BR752" s="126"/>
      <c r="BS752" s="126"/>
      <c r="BT752" s="126"/>
      <c r="BU752" s="126"/>
      <c r="BV752" s="126"/>
      <c r="BW752" s="126"/>
      <c r="BX752" s="126"/>
      <c r="BY752" s="126"/>
      <c r="BZ752" s="126"/>
      <c r="CA752" s="126"/>
      <c r="CB752" s="126"/>
      <c r="CC752" s="126"/>
      <c r="CD752" s="126"/>
      <c r="CE752" s="126"/>
      <c r="CF752" s="126"/>
      <c r="CG752" s="126"/>
      <c r="CH752" s="126"/>
      <c r="CI752" s="126"/>
      <c r="CJ752" s="126"/>
      <c r="CK752" s="126"/>
    </row>
    <row r="753" spans="1:89" ht="9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  <c r="BD753" s="126"/>
      <c r="BE753" s="126"/>
      <c r="BF753" s="126"/>
      <c r="BG753" s="126"/>
      <c r="BH753" s="126"/>
      <c r="BI753" s="126"/>
      <c r="BJ753" s="126"/>
      <c r="BK753" s="126"/>
      <c r="BL753" s="126"/>
      <c r="BM753" s="126"/>
      <c r="BN753" s="126"/>
      <c r="BO753" s="126"/>
      <c r="BP753" s="126"/>
      <c r="BQ753" s="126"/>
      <c r="BR753" s="126"/>
      <c r="BS753" s="126"/>
      <c r="BT753" s="126"/>
      <c r="BU753" s="126"/>
      <c r="BV753" s="126"/>
      <c r="BW753" s="126"/>
      <c r="BX753" s="126"/>
      <c r="BY753" s="126"/>
      <c r="BZ753" s="126"/>
      <c r="CA753" s="126"/>
      <c r="CB753" s="126"/>
      <c r="CC753" s="126"/>
      <c r="CD753" s="126"/>
      <c r="CE753" s="126"/>
      <c r="CF753" s="126"/>
      <c r="CG753" s="126"/>
      <c r="CH753" s="126"/>
      <c r="CI753" s="126"/>
      <c r="CJ753" s="126"/>
      <c r="CK753" s="126"/>
    </row>
    <row r="754" spans="1:89" ht="9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  <c r="BD754" s="126"/>
      <c r="BE754" s="126"/>
      <c r="BF754" s="126"/>
      <c r="BG754" s="126"/>
      <c r="BH754" s="126"/>
      <c r="BI754" s="126"/>
      <c r="BJ754" s="126"/>
      <c r="BK754" s="126"/>
      <c r="BL754" s="126"/>
      <c r="BM754" s="126"/>
      <c r="BN754" s="126"/>
      <c r="BO754" s="126"/>
      <c r="BP754" s="126"/>
      <c r="BQ754" s="126"/>
      <c r="BR754" s="126"/>
      <c r="BS754" s="126"/>
      <c r="BT754" s="126"/>
      <c r="BU754" s="126"/>
      <c r="BV754" s="126"/>
      <c r="BW754" s="126"/>
      <c r="BX754" s="126"/>
      <c r="BY754" s="126"/>
      <c r="BZ754" s="126"/>
      <c r="CA754" s="126"/>
      <c r="CB754" s="126"/>
      <c r="CC754" s="126"/>
      <c r="CD754" s="126"/>
      <c r="CE754" s="126"/>
      <c r="CF754" s="126"/>
      <c r="CG754" s="126"/>
      <c r="CH754" s="126"/>
      <c r="CI754" s="126"/>
      <c r="CJ754" s="126"/>
      <c r="CK754" s="126"/>
    </row>
    <row r="755" spans="1:89" ht="9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  <c r="BD755" s="126"/>
      <c r="BE755" s="126"/>
      <c r="BF755" s="126"/>
      <c r="BG755" s="126"/>
      <c r="BH755" s="126"/>
      <c r="BI755" s="126"/>
      <c r="BJ755" s="126"/>
      <c r="BK755" s="126"/>
      <c r="BL755" s="126"/>
      <c r="BM755" s="126"/>
      <c r="BN755" s="126"/>
      <c r="BO755" s="126"/>
      <c r="BP755" s="126"/>
      <c r="BQ755" s="126"/>
      <c r="BR755" s="126"/>
      <c r="BS755" s="126"/>
      <c r="BT755" s="126"/>
      <c r="BU755" s="126"/>
      <c r="BV755" s="126"/>
      <c r="BW755" s="126"/>
      <c r="BX755" s="126"/>
      <c r="BY755" s="126"/>
      <c r="BZ755" s="126"/>
      <c r="CA755" s="126"/>
      <c r="CB755" s="126"/>
      <c r="CC755" s="126"/>
      <c r="CD755" s="126"/>
      <c r="CE755" s="126"/>
      <c r="CF755" s="126"/>
      <c r="CG755" s="126"/>
      <c r="CH755" s="126"/>
      <c r="CI755" s="126"/>
      <c r="CJ755" s="126"/>
      <c r="CK755" s="126"/>
    </row>
    <row r="756" spans="1:89" ht="9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  <c r="BD756" s="126"/>
      <c r="BE756" s="126"/>
      <c r="BF756" s="126"/>
      <c r="BG756" s="126"/>
      <c r="BH756" s="126"/>
      <c r="BI756" s="126"/>
      <c r="BJ756" s="126"/>
      <c r="BK756" s="126"/>
      <c r="BL756" s="126"/>
      <c r="BM756" s="126"/>
      <c r="BN756" s="126"/>
      <c r="BO756" s="126"/>
      <c r="BP756" s="126"/>
      <c r="BQ756" s="126"/>
      <c r="BR756" s="126"/>
      <c r="BS756" s="126"/>
      <c r="BT756" s="126"/>
      <c r="BU756" s="126"/>
      <c r="BV756" s="126"/>
      <c r="BW756" s="126"/>
      <c r="BX756" s="126"/>
      <c r="BY756" s="126"/>
      <c r="BZ756" s="126"/>
      <c r="CA756" s="126"/>
      <c r="CB756" s="126"/>
      <c r="CC756" s="126"/>
      <c r="CD756" s="126"/>
      <c r="CE756" s="126"/>
      <c r="CF756" s="126"/>
      <c r="CG756" s="126"/>
      <c r="CH756" s="126"/>
      <c r="CI756" s="126"/>
      <c r="CJ756" s="126"/>
      <c r="CK756" s="126"/>
    </row>
    <row r="757" spans="1:89" ht="9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  <c r="BD757" s="126"/>
      <c r="BE757" s="126"/>
      <c r="BF757" s="126"/>
      <c r="BG757" s="126"/>
      <c r="BH757" s="126"/>
      <c r="BI757" s="126"/>
      <c r="BJ757" s="126"/>
      <c r="BK757" s="126"/>
      <c r="BL757" s="126"/>
      <c r="BM757" s="126"/>
      <c r="BN757" s="126"/>
      <c r="BO757" s="126"/>
      <c r="BP757" s="126"/>
      <c r="BQ757" s="126"/>
      <c r="BR757" s="126"/>
      <c r="BS757" s="126"/>
      <c r="BT757" s="126"/>
      <c r="BU757" s="126"/>
      <c r="BV757" s="126"/>
      <c r="BW757" s="126"/>
      <c r="BX757" s="126"/>
      <c r="BY757" s="126"/>
      <c r="BZ757" s="126"/>
      <c r="CA757" s="126"/>
      <c r="CB757" s="126"/>
      <c r="CC757" s="126"/>
      <c r="CD757" s="126"/>
      <c r="CE757" s="126"/>
      <c r="CF757" s="126"/>
      <c r="CG757" s="126"/>
      <c r="CH757" s="126"/>
      <c r="CI757" s="126"/>
      <c r="CJ757" s="126"/>
      <c r="CK757" s="126"/>
    </row>
    <row r="758" spans="1:89" ht="9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  <c r="BD758" s="126"/>
      <c r="BE758" s="126"/>
      <c r="BF758" s="126"/>
      <c r="BG758" s="126"/>
      <c r="BH758" s="126"/>
      <c r="BI758" s="126"/>
      <c r="BJ758" s="126"/>
      <c r="BK758" s="126"/>
      <c r="BL758" s="126"/>
      <c r="BM758" s="126"/>
      <c r="BN758" s="126"/>
      <c r="BO758" s="126"/>
      <c r="BP758" s="126"/>
      <c r="BQ758" s="126"/>
      <c r="BR758" s="126"/>
      <c r="BS758" s="126"/>
      <c r="BT758" s="126"/>
      <c r="BU758" s="126"/>
      <c r="BV758" s="126"/>
      <c r="BW758" s="126"/>
      <c r="BX758" s="126"/>
      <c r="BY758" s="126"/>
      <c r="BZ758" s="126"/>
      <c r="CA758" s="126"/>
      <c r="CB758" s="126"/>
      <c r="CC758" s="126"/>
      <c r="CD758" s="126"/>
      <c r="CE758" s="126"/>
      <c r="CF758" s="126"/>
      <c r="CG758" s="126"/>
      <c r="CH758" s="126"/>
      <c r="CI758" s="126"/>
      <c r="CJ758" s="126"/>
      <c r="CK758" s="126"/>
    </row>
    <row r="759" spans="1:89" ht="9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  <c r="BD759" s="126"/>
      <c r="BE759" s="126"/>
      <c r="BF759" s="126"/>
      <c r="BG759" s="126"/>
      <c r="BH759" s="126"/>
      <c r="BI759" s="126"/>
      <c r="BJ759" s="126"/>
      <c r="BK759" s="126"/>
      <c r="BL759" s="126"/>
      <c r="BM759" s="126"/>
      <c r="BN759" s="126"/>
      <c r="BO759" s="126"/>
      <c r="BP759" s="126"/>
      <c r="BQ759" s="126"/>
      <c r="BR759" s="126"/>
      <c r="BS759" s="126"/>
      <c r="BT759" s="126"/>
      <c r="BU759" s="126"/>
      <c r="BV759" s="126"/>
      <c r="BW759" s="126"/>
      <c r="BX759" s="126"/>
      <c r="BY759" s="126"/>
      <c r="BZ759" s="126"/>
      <c r="CA759" s="126"/>
      <c r="CB759" s="126"/>
      <c r="CC759" s="126"/>
      <c r="CD759" s="126"/>
      <c r="CE759" s="126"/>
      <c r="CF759" s="126"/>
      <c r="CG759" s="126"/>
      <c r="CH759" s="126"/>
      <c r="CI759" s="126"/>
      <c r="CJ759" s="126"/>
      <c r="CK759" s="126"/>
    </row>
    <row r="760" spans="1:89" ht="9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  <c r="BD760" s="126"/>
      <c r="BE760" s="126"/>
      <c r="BF760" s="126"/>
      <c r="BG760" s="126"/>
      <c r="BH760" s="126"/>
      <c r="BI760" s="126"/>
      <c r="BJ760" s="126"/>
      <c r="BK760" s="126"/>
      <c r="BL760" s="126"/>
      <c r="BM760" s="126"/>
      <c r="BN760" s="126"/>
      <c r="BO760" s="126"/>
      <c r="BP760" s="126"/>
      <c r="BQ760" s="126"/>
      <c r="BR760" s="126"/>
      <c r="BS760" s="126"/>
      <c r="BT760" s="126"/>
      <c r="BU760" s="126"/>
      <c r="BV760" s="126"/>
      <c r="BW760" s="126"/>
      <c r="BX760" s="126"/>
      <c r="BY760" s="126"/>
      <c r="BZ760" s="126"/>
      <c r="CA760" s="126"/>
      <c r="CB760" s="126"/>
      <c r="CC760" s="126"/>
      <c r="CD760" s="126"/>
      <c r="CE760" s="126"/>
      <c r="CF760" s="126"/>
      <c r="CG760" s="126"/>
      <c r="CH760" s="126"/>
      <c r="CI760" s="126"/>
      <c r="CJ760" s="126"/>
      <c r="CK760" s="126"/>
    </row>
    <row r="761" spans="1:89" ht="9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  <c r="BD761" s="126"/>
      <c r="BE761" s="126"/>
      <c r="BF761" s="126"/>
      <c r="BG761" s="126"/>
      <c r="BH761" s="126"/>
      <c r="BI761" s="126"/>
      <c r="BJ761" s="126"/>
      <c r="BK761" s="126"/>
      <c r="BL761" s="126"/>
      <c r="BM761" s="126"/>
      <c r="BN761" s="126"/>
      <c r="BO761" s="126"/>
      <c r="BP761" s="126"/>
      <c r="BQ761" s="126"/>
      <c r="BR761" s="126"/>
      <c r="BS761" s="126"/>
      <c r="BT761" s="126"/>
      <c r="BU761" s="126"/>
      <c r="BV761" s="126"/>
      <c r="BW761" s="126"/>
      <c r="BX761" s="126"/>
      <c r="BY761" s="126"/>
      <c r="BZ761" s="126"/>
      <c r="CA761" s="126"/>
      <c r="CB761" s="126"/>
      <c r="CC761" s="126"/>
      <c r="CD761" s="126"/>
      <c r="CE761" s="126"/>
      <c r="CF761" s="126"/>
      <c r="CG761" s="126"/>
      <c r="CH761" s="126"/>
      <c r="CI761" s="126"/>
      <c r="CJ761" s="126"/>
      <c r="CK761" s="126"/>
    </row>
    <row r="762" spans="1:89" ht="9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  <c r="BD762" s="126"/>
      <c r="BE762" s="126"/>
      <c r="BF762" s="126"/>
      <c r="BG762" s="126"/>
      <c r="BH762" s="126"/>
      <c r="BI762" s="126"/>
      <c r="BJ762" s="126"/>
      <c r="BK762" s="126"/>
      <c r="BL762" s="126"/>
      <c r="BM762" s="126"/>
      <c r="BN762" s="126"/>
      <c r="BO762" s="126"/>
      <c r="BP762" s="126"/>
      <c r="BQ762" s="126"/>
      <c r="BR762" s="126"/>
      <c r="BS762" s="126"/>
      <c r="BT762" s="126"/>
      <c r="BU762" s="126"/>
      <c r="BV762" s="126"/>
      <c r="BW762" s="126"/>
      <c r="BX762" s="126"/>
      <c r="BY762" s="126"/>
      <c r="BZ762" s="126"/>
      <c r="CA762" s="126"/>
      <c r="CB762" s="126"/>
      <c r="CC762" s="126"/>
      <c r="CD762" s="126"/>
      <c r="CE762" s="126"/>
      <c r="CF762" s="126"/>
      <c r="CG762" s="126"/>
      <c r="CH762" s="126"/>
      <c r="CI762" s="126"/>
      <c r="CJ762" s="126"/>
      <c r="CK762" s="126"/>
    </row>
    <row r="763" spans="1:89" ht="9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  <c r="BD763" s="126"/>
      <c r="BE763" s="126"/>
      <c r="BF763" s="126"/>
      <c r="BG763" s="126"/>
      <c r="BH763" s="126"/>
      <c r="BI763" s="126"/>
      <c r="BJ763" s="126"/>
      <c r="BK763" s="126"/>
      <c r="BL763" s="126"/>
      <c r="BM763" s="126"/>
      <c r="BN763" s="126"/>
      <c r="BO763" s="126"/>
      <c r="BP763" s="126"/>
      <c r="BQ763" s="126"/>
      <c r="BR763" s="126"/>
      <c r="BS763" s="126"/>
      <c r="BT763" s="126"/>
      <c r="BU763" s="126"/>
      <c r="BV763" s="126"/>
      <c r="BW763" s="126"/>
      <c r="BX763" s="126"/>
      <c r="BY763" s="126"/>
      <c r="BZ763" s="126"/>
      <c r="CA763" s="126"/>
      <c r="CB763" s="126"/>
      <c r="CC763" s="126"/>
      <c r="CD763" s="126"/>
      <c r="CE763" s="126"/>
      <c r="CF763" s="126"/>
      <c r="CG763" s="126"/>
      <c r="CH763" s="126"/>
      <c r="CI763" s="126"/>
      <c r="CJ763" s="126"/>
      <c r="CK763" s="126"/>
    </row>
    <row r="764" spans="1:89" ht="9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  <c r="BD764" s="126"/>
      <c r="BE764" s="126"/>
      <c r="BF764" s="126"/>
      <c r="BG764" s="126"/>
      <c r="BH764" s="126"/>
      <c r="BI764" s="126"/>
      <c r="BJ764" s="126"/>
      <c r="BK764" s="126"/>
      <c r="BL764" s="126"/>
      <c r="BM764" s="126"/>
      <c r="BN764" s="126"/>
      <c r="BO764" s="126"/>
      <c r="BP764" s="126"/>
      <c r="BQ764" s="126"/>
      <c r="BR764" s="126"/>
      <c r="BS764" s="126"/>
      <c r="BT764" s="126"/>
      <c r="BU764" s="126"/>
      <c r="BV764" s="126"/>
      <c r="BW764" s="126"/>
      <c r="BX764" s="126"/>
      <c r="BY764" s="126"/>
      <c r="BZ764" s="126"/>
      <c r="CA764" s="126"/>
      <c r="CB764" s="126"/>
      <c r="CC764" s="126"/>
      <c r="CD764" s="126"/>
      <c r="CE764" s="126"/>
      <c r="CF764" s="126"/>
      <c r="CG764" s="126"/>
      <c r="CH764" s="126"/>
      <c r="CI764" s="126"/>
      <c r="CJ764" s="126"/>
      <c r="CK764" s="126"/>
    </row>
    <row r="765" spans="1:89" ht="9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  <c r="BD765" s="126"/>
      <c r="BE765" s="126"/>
      <c r="BF765" s="126"/>
      <c r="BG765" s="126"/>
      <c r="BH765" s="126"/>
      <c r="BI765" s="126"/>
      <c r="BJ765" s="126"/>
      <c r="BK765" s="126"/>
      <c r="BL765" s="126"/>
      <c r="BM765" s="126"/>
      <c r="BN765" s="126"/>
      <c r="BO765" s="126"/>
      <c r="BP765" s="126"/>
      <c r="BQ765" s="126"/>
      <c r="BR765" s="126"/>
      <c r="BS765" s="126"/>
      <c r="BT765" s="126"/>
      <c r="BU765" s="126"/>
      <c r="BV765" s="126"/>
      <c r="BW765" s="126"/>
      <c r="BX765" s="126"/>
      <c r="BY765" s="126"/>
      <c r="BZ765" s="126"/>
      <c r="CA765" s="126"/>
      <c r="CB765" s="126"/>
      <c r="CC765" s="126"/>
      <c r="CD765" s="126"/>
      <c r="CE765" s="126"/>
      <c r="CF765" s="126"/>
      <c r="CG765" s="126"/>
      <c r="CH765" s="126"/>
      <c r="CI765" s="126"/>
      <c r="CJ765" s="126"/>
      <c r="CK765" s="126"/>
    </row>
    <row r="766" spans="1:89" ht="9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  <c r="BD766" s="126"/>
      <c r="BE766" s="126"/>
      <c r="BF766" s="126"/>
      <c r="BG766" s="126"/>
      <c r="BH766" s="126"/>
      <c r="BI766" s="126"/>
      <c r="BJ766" s="126"/>
      <c r="BK766" s="126"/>
      <c r="BL766" s="126"/>
      <c r="BM766" s="126"/>
      <c r="BN766" s="126"/>
      <c r="BO766" s="126"/>
      <c r="BP766" s="126"/>
      <c r="BQ766" s="126"/>
      <c r="BR766" s="126"/>
      <c r="BS766" s="126"/>
      <c r="BT766" s="126"/>
      <c r="BU766" s="126"/>
      <c r="BV766" s="126"/>
      <c r="BW766" s="126"/>
      <c r="BX766" s="126"/>
      <c r="BY766" s="126"/>
      <c r="BZ766" s="126"/>
      <c r="CA766" s="126"/>
      <c r="CB766" s="126"/>
      <c r="CC766" s="126"/>
      <c r="CD766" s="126"/>
      <c r="CE766" s="126"/>
      <c r="CF766" s="126"/>
      <c r="CG766" s="126"/>
      <c r="CH766" s="126"/>
      <c r="CI766" s="126"/>
      <c r="CJ766" s="126"/>
      <c r="CK766" s="126"/>
    </row>
    <row r="767" spans="1:89" ht="9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  <c r="BD767" s="126"/>
      <c r="BE767" s="126"/>
      <c r="BF767" s="126"/>
      <c r="BG767" s="126"/>
      <c r="BH767" s="126"/>
      <c r="BI767" s="126"/>
      <c r="BJ767" s="126"/>
      <c r="BK767" s="126"/>
      <c r="BL767" s="126"/>
      <c r="BM767" s="126"/>
      <c r="BN767" s="126"/>
      <c r="BO767" s="126"/>
      <c r="BP767" s="126"/>
      <c r="BQ767" s="126"/>
      <c r="BR767" s="126"/>
      <c r="BS767" s="126"/>
      <c r="BT767" s="126"/>
      <c r="BU767" s="126"/>
      <c r="BV767" s="126"/>
      <c r="BW767" s="126"/>
      <c r="BX767" s="126"/>
      <c r="BY767" s="126"/>
      <c r="BZ767" s="126"/>
      <c r="CA767" s="126"/>
      <c r="CB767" s="126"/>
      <c r="CC767" s="126"/>
      <c r="CD767" s="126"/>
      <c r="CE767" s="126"/>
      <c r="CF767" s="126"/>
      <c r="CG767" s="126"/>
      <c r="CH767" s="126"/>
      <c r="CI767" s="126"/>
      <c r="CJ767" s="126"/>
      <c r="CK767" s="126"/>
    </row>
    <row r="768" spans="1:89" ht="9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  <c r="BD768" s="126"/>
      <c r="BE768" s="126"/>
      <c r="BF768" s="126"/>
      <c r="BG768" s="126"/>
      <c r="BH768" s="126"/>
      <c r="BI768" s="126"/>
      <c r="BJ768" s="126"/>
      <c r="BK768" s="126"/>
      <c r="BL768" s="126"/>
      <c r="BM768" s="126"/>
      <c r="BN768" s="126"/>
      <c r="BO768" s="126"/>
      <c r="BP768" s="126"/>
      <c r="BQ768" s="126"/>
      <c r="BR768" s="126"/>
      <c r="BS768" s="126"/>
      <c r="BT768" s="126"/>
      <c r="BU768" s="126"/>
      <c r="BV768" s="126"/>
      <c r="BW768" s="126"/>
      <c r="BX768" s="126"/>
      <c r="BY768" s="126"/>
      <c r="BZ768" s="126"/>
      <c r="CA768" s="126"/>
      <c r="CB768" s="126"/>
      <c r="CC768" s="126"/>
      <c r="CD768" s="126"/>
      <c r="CE768" s="126"/>
      <c r="CF768" s="126"/>
      <c r="CG768" s="126"/>
      <c r="CH768" s="126"/>
      <c r="CI768" s="126"/>
      <c r="CJ768" s="126"/>
      <c r="CK768" s="126"/>
    </row>
    <row r="769" spans="1:89" ht="9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  <c r="BD769" s="126"/>
      <c r="BE769" s="126"/>
      <c r="BF769" s="126"/>
      <c r="BG769" s="126"/>
      <c r="BH769" s="126"/>
      <c r="BI769" s="126"/>
      <c r="BJ769" s="126"/>
      <c r="BK769" s="126"/>
      <c r="BL769" s="126"/>
      <c r="BM769" s="126"/>
      <c r="BN769" s="126"/>
      <c r="BO769" s="126"/>
      <c r="BP769" s="126"/>
      <c r="BQ769" s="126"/>
      <c r="BR769" s="126"/>
      <c r="BS769" s="126"/>
      <c r="BT769" s="126"/>
      <c r="BU769" s="126"/>
      <c r="BV769" s="126"/>
      <c r="BW769" s="126"/>
      <c r="BX769" s="126"/>
      <c r="BY769" s="126"/>
      <c r="BZ769" s="126"/>
      <c r="CA769" s="126"/>
      <c r="CB769" s="126"/>
      <c r="CC769" s="126"/>
      <c r="CD769" s="126"/>
      <c r="CE769" s="126"/>
      <c r="CF769" s="126"/>
      <c r="CG769" s="126"/>
      <c r="CH769" s="126"/>
      <c r="CI769" s="126"/>
      <c r="CJ769" s="126"/>
      <c r="CK769" s="126"/>
    </row>
    <row r="770" spans="1:89" ht="9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  <c r="BD770" s="126"/>
      <c r="BE770" s="126"/>
      <c r="BF770" s="126"/>
      <c r="BG770" s="126"/>
      <c r="BH770" s="126"/>
      <c r="BI770" s="126"/>
      <c r="BJ770" s="126"/>
      <c r="BK770" s="126"/>
      <c r="BL770" s="126"/>
      <c r="BM770" s="126"/>
      <c r="BN770" s="126"/>
      <c r="BO770" s="126"/>
      <c r="BP770" s="126"/>
      <c r="BQ770" s="126"/>
      <c r="BR770" s="126"/>
      <c r="BS770" s="126"/>
      <c r="BT770" s="126"/>
      <c r="BU770" s="126"/>
      <c r="BV770" s="126"/>
      <c r="BW770" s="126"/>
      <c r="BX770" s="126"/>
      <c r="BY770" s="126"/>
      <c r="BZ770" s="126"/>
      <c r="CA770" s="126"/>
      <c r="CB770" s="126"/>
      <c r="CC770" s="126"/>
      <c r="CD770" s="126"/>
      <c r="CE770" s="126"/>
      <c r="CF770" s="126"/>
      <c r="CG770" s="126"/>
      <c r="CH770" s="126"/>
      <c r="CI770" s="126"/>
      <c r="CJ770" s="126"/>
      <c r="CK770" s="126"/>
    </row>
    <row r="771" spans="1:89" ht="9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  <c r="BD771" s="126"/>
      <c r="BE771" s="126"/>
      <c r="BF771" s="126"/>
      <c r="BG771" s="126"/>
      <c r="BH771" s="126"/>
      <c r="BI771" s="126"/>
      <c r="BJ771" s="126"/>
      <c r="BK771" s="126"/>
      <c r="BL771" s="126"/>
      <c r="BM771" s="126"/>
      <c r="BN771" s="126"/>
      <c r="BO771" s="126"/>
      <c r="BP771" s="126"/>
      <c r="BQ771" s="126"/>
      <c r="BR771" s="126"/>
      <c r="BS771" s="126"/>
      <c r="BT771" s="126"/>
      <c r="BU771" s="126"/>
      <c r="BV771" s="126"/>
      <c r="BW771" s="126"/>
      <c r="BX771" s="126"/>
      <c r="BY771" s="126"/>
      <c r="BZ771" s="126"/>
      <c r="CA771" s="126"/>
      <c r="CB771" s="126"/>
      <c r="CC771" s="126"/>
      <c r="CD771" s="126"/>
      <c r="CE771" s="126"/>
      <c r="CF771" s="126"/>
      <c r="CG771" s="126"/>
      <c r="CH771" s="126"/>
      <c r="CI771" s="126"/>
      <c r="CJ771" s="126"/>
      <c r="CK771" s="126"/>
    </row>
    <row r="772" spans="1:89" ht="9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  <c r="BD772" s="126"/>
      <c r="BE772" s="126"/>
      <c r="BF772" s="126"/>
      <c r="BG772" s="126"/>
      <c r="BH772" s="126"/>
      <c r="BI772" s="126"/>
      <c r="BJ772" s="126"/>
      <c r="BK772" s="126"/>
      <c r="BL772" s="126"/>
      <c r="BM772" s="126"/>
      <c r="BN772" s="126"/>
      <c r="BO772" s="126"/>
      <c r="BP772" s="126"/>
      <c r="BQ772" s="126"/>
      <c r="BR772" s="126"/>
      <c r="BS772" s="126"/>
      <c r="BT772" s="126"/>
      <c r="BU772" s="126"/>
      <c r="BV772" s="126"/>
      <c r="BW772" s="126"/>
      <c r="BX772" s="126"/>
      <c r="BY772" s="126"/>
      <c r="BZ772" s="126"/>
      <c r="CA772" s="126"/>
      <c r="CB772" s="126"/>
      <c r="CC772" s="126"/>
      <c r="CD772" s="126"/>
      <c r="CE772" s="126"/>
      <c r="CF772" s="126"/>
      <c r="CG772" s="126"/>
      <c r="CH772" s="126"/>
      <c r="CI772" s="126"/>
      <c r="CJ772" s="126"/>
      <c r="CK772" s="126"/>
    </row>
    <row r="773" spans="1:89" ht="9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  <c r="BD773" s="126"/>
      <c r="BE773" s="126"/>
      <c r="BF773" s="126"/>
      <c r="BG773" s="126"/>
      <c r="BH773" s="126"/>
      <c r="BI773" s="126"/>
      <c r="BJ773" s="126"/>
      <c r="BK773" s="126"/>
      <c r="BL773" s="126"/>
      <c r="BM773" s="126"/>
      <c r="BN773" s="126"/>
      <c r="BO773" s="126"/>
      <c r="BP773" s="126"/>
      <c r="BQ773" s="126"/>
      <c r="BR773" s="126"/>
      <c r="BS773" s="126"/>
      <c r="BT773" s="126"/>
      <c r="BU773" s="126"/>
      <c r="BV773" s="126"/>
      <c r="BW773" s="126"/>
      <c r="BX773" s="126"/>
      <c r="BY773" s="126"/>
      <c r="BZ773" s="126"/>
      <c r="CA773" s="126"/>
      <c r="CB773" s="126"/>
      <c r="CC773" s="126"/>
      <c r="CD773" s="126"/>
      <c r="CE773" s="126"/>
      <c r="CF773" s="126"/>
      <c r="CG773" s="126"/>
      <c r="CH773" s="126"/>
      <c r="CI773" s="126"/>
      <c r="CJ773" s="126"/>
      <c r="CK773" s="126"/>
    </row>
    <row r="774" spans="1:89" ht="9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  <c r="BD774" s="126"/>
      <c r="BE774" s="126"/>
      <c r="BF774" s="126"/>
      <c r="BG774" s="126"/>
      <c r="BH774" s="126"/>
      <c r="BI774" s="126"/>
      <c r="BJ774" s="126"/>
      <c r="BK774" s="126"/>
      <c r="BL774" s="126"/>
      <c r="BM774" s="126"/>
      <c r="BN774" s="126"/>
      <c r="BO774" s="126"/>
      <c r="BP774" s="126"/>
      <c r="BQ774" s="126"/>
      <c r="BR774" s="126"/>
      <c r="BS774" s="126"/>
      <c r="BT774" s="126"/>
      <c r="BU774" s="126"/>
      <c r="BV774" s="126"/>
      <c r="BW774" s="126"/>
      <c r="BX774" s="126"/>
      <c r="BY774" s="126"/>
      <c r="BZ774" s="126"/>
      <c r="CA774" s="126"/>
      <c r="CB774" s="126"/>
      <c r="CC774" s="126"/>
      <c r="CD774" s="126"/>
      <c r="CE774" s="126"/>
      <c r="CF774" s="126"/>
      <c r="CG774" s="126"/>
      <c r="CH774" s="126"/>
      <c r="CI774" s="126"/>
      <c r="CJ774" s="126"/>
      <c r="CK774" s="126"/>
    </row>
    <row r="775" spans="1:89" ht="9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  <c r="BD775" s="126"/>
      <c r="BE775" s="126"/>
      <c r="BF775" s="126"/>
      <c r="BG775" s="126"/>
      <c r="BH775" s="126"/>
      <c r="BI775" s="126"/>
      <c r="BJ775" s="126"/>
      <c r="BK775" s="126"/>
      <c r="BL775" s="126"/>
      <c r="BM775" s="126"/>
      <c r="BN775" s="126"/>
      <c r="BO775" s="126"/>
      <c r="BP775" s="126"/>
      <c r="BQ775" s="126"/>
      <c r="BR775" s="126"/>
      <c r="BS775" s="126"/>
      <c r="BT775" s="126"/>
      <c r="BU775" s="126"/>
      <c r="BV775" s="126"/>
      <c r="BW775" s="126"/>
      <c r="BX775" s="126"/>
      <c r="BY775" s="126"/>
      <c r="BZ775" s="126"/>
      <c r="CA775" s="126"/>
      <c r="CB775" s="126"/>
      <c r="CC775" s="126"/>
      <c r="CD775" s="126"/>
      <c r="CE775" s="126"/>
      <c r="CF775" s="126"/>
      <c r="CG775" s="126"/>
      <c r="CH775" s="126"/>
      <c r="CI775" s="126"/>
      <c r="CJ775" s="126"/>
      <c r="CK775" s="126"/>
    </row>
    <row r="776" spans="1:89" ht="9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  <c r="BD776" s="126"/>
      <c r="BE776" s="126"/>
      <c r="BF776" s="126"/>
      <c r="BG776" s="126"/>
      <c r="BH776" s="126"/>
      <c r="BI776" s="126"/>
      <c r="BJ776" s="126"/>
      <c r="BK776" s="126"/>
      <c r="BL776" s="126"/>
      <c r="BM776" s="126"/>
      <c r="BN776" s="126"/>
      <c r="BO776" s="126"/>
      <c r="BP776" s="126"/>
      <c r="BQ776" s="126"/>
      <c r="BR776" s="126"/>
      <c r="BS776" s="126"/>
      <c r="BT776" s="126"/>
      <c r="BU776" s="126"/>
      <c r="BV776" s="126"/>
      <c r="BW776" s="126"/>
      <c r="BX776" s="126"/>
      <c r="BY776" s="126"/>
      <c r="BZ776" s="126"/>
      <c r="CA776" s="126"/>
      <c r="CB776" s="126"/>
      <c r="CC776" s="126"/>
      <c r="CD776" s="126"/>
      <c r="CE776" s="126"/>
      <c r="CF776" s="126"/>
      <c r="CG776" s="126"/>
      <c r="CH776" s="126"/>
      <c r="CI776" s="126"/>
      <c r="CJ776" s="126"/>
      <c r="CK776" s="126"/>
    </row>
    <row r="777" spans="1:89" ht="9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  <c r="BD777" s="126"/>
      <c r="BE777" s="126"/>
      <c r="BF777" s="126"/>
      <c r="BG777" s="126"/>
      <c r="BH777" s="126"/>
      <c r="BI777" s="126"/>
      <c r="BJ777" s="126"/>
      <c r="BK777" s="126"/>
      <c r="BL777" s="126"/>
      <c r="BM777" s="126"/>
      <c r="BN777" s="126"/>
      <c r="BO777" s="126"/>
      <c r="BP777" s="126"/>
      <c r="BQ777" s="126"/>
      <c r="BR777" s="126"/>
      <c r="BS777" s="126"/>
      <c r="BT777" s="126"/>
      <c r="BU777" s="126"/>
      <c r="BV777" s="126"/>
      <c r="BW777" s="126"/>
      <c r="BX777" s="126"/>
      <c r="BY777" s="126"/>
      <c r="BZ777" s="126"/>
      <c r="CA777" s="126"/>
      <c r="CB777" s="126"/>
      <c r="CC777" s="126"/>
      <c r="CD777" s="126"/>
      <c r="CE777" s="126"/>
      <c r="CF777" s="126"/>
      <c r="CG777" s="126"/>
      <c r="CH777" s="126"/>
      <c r="CI777" s="126"/>
      <c r="CJ777" s="126"/>
      <c r="CK777" s="126"/>
    </row>
    <row r="778" spans="1:89" ht="9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  <c r="BD778" s="126"/>
      <c r="BE778" s="126"/>
      <c r="BF778" s="126"/>
      <c r="BG778" s="126"/>
      <c r="BH778" s="126"/>
      <c r="BI778" s="126"/>
      <c r="BJ778" s="126"/>
      <c r="BK778" s="126"/>
      <c r="BL778" s="126"/>
      <c r="BM778" s="126"/>
      <c r="BN778" s="126"/>
      <c r="BO778" s="126"/>
      <c r="BP778" s="126"/>
      <c r="BQ778" s="126"/>
      <c r="BR778" s="126"/>
      <c r="BS778" s="126"/>
      <c r="BT778" s="126"/>
      <c r="BU778" s="126"/>
      <c r="BV778" s="126"/>
      <c r="BW778" s="126"/>
      <c r="BX778" s="126"/>
      <c r="BY778" s="126"/>
      <c r="BZ778" s="126"/>
      <c r="CA778" s="126"/>
      <c r="CB778" s="126"/>
      <c r="CC778" s="126"/>
      <c r="CD778" s="126"/>
      <c r="CE778" s="126"/>
      <c r="CF778" s="126"/>
      <c r="CG778" s="126"/>
      <c r="CH778" s="126"/>
      <c r="CI778" s="126"/>
      <c r="CJ778" s="126"/>
      <c r="CK778" s="126"/>
    </row>
    <row r="779" spans="1:89" ht="9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  <c r="BD779" s="126"/>
      <c r="BE779" s="126"/>
      <c r="BF779" s="126"/>
      <c r="BG779" s="126"/>
      <c r="BH779" s="126"/>
      <c r="BI779" s="126"/>
      <c r="BJ779" s="126"/>
      <c r="BK779" s="126"/>
      <c r="BL779" s="126"/>
      <c r="BM779" s="126"/>
      <c r="BN779" s="126"/>
      <c r="BO779" s="126"/>
      <c r="BP779" s="126"/>
      <c r="BQ779" s="126"/>
      <c r="BR779" s="126"/>
      <c r="BS779" s="126"/>
      <c r="BT779" s="126"/>
      <c r="BU779" s="126"/>
      <c r="BV779" s="126"/>
      <c r="BW779" s="126"/>
      <c r="BX779" s="126"/>
      <c r="BY779" s="126"/>
      <c r="BZ779" s="126"/>
      <c r="CA779" s="126"/>
      <c r="CB779" s="126"/>
      <c r="CC779" s="126"/>
      <c r="CD779" s="126"/>
      <c r="CE779" s="126"/>
      <c r="CF779" s="126"/>
      <c r="CG779" s="126"/>
      <c r="CH779" s="126"/>
      <c r="CI779" s="126"/>
      <c r="CJ779" s="126"/>
      <c r="CK779" s="126"/>
    </row>
    <row r="780" spans="1:89" ht="9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  <c r="BD780" s="126"/>
      <c r="BE780" s="126"/>
      <c r="BF780" s="126"/>
      <c r="BG780" s="126"/>
      <c r="BH780" s="126"/>
      <c r="BI780" s="126"/>
      <c r="BJ780" s="126"/>
      <c r="BK780" s="126"/>
      <c r="BL780" s="126"/>
      <c r="BM780" s="126"/>
      <c r="BN780" s="126"/>
      <c r="BO780" s="126"/>
      <c r="BP780" s="126"/>
      <c r="BQ780" s="126"/>
      <c r="BR780" s="126"/>
      <c r="BS780" s="126"/>
      <c r="BT780" s="126"/>
      <c r="BU780" s="126"/>
      <c r="BV780" s="126"/>
      <c r="BW780" s="126"/>
      <c r="BX780" s="126"/>
      <c r="BY780" s="126"/>
      <c r="BZ780" s="126"/>
      <c r="CA780" s="126"/>
      <c r="CB780" s="126"/>
      <c r="CC780" s="126"/>
      <c r="CD780" s="126"/>
      <c r="CE780" s="126"/>
      <c r="CF780" s="126"/>
      <c r="CG780" s="126"/>
      <c r="CH780" s="126"/>
      <c r="CI780" s="126"/>
      <c r="CJ780" s="126"/>
      <c r="CK780" s="126"/>
    </row>
    <row r="781" spans="1:89" ht="9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  <c r="BD781" s="126"/>
      <c r="BE781" s="126"/>
      <c r="BF781" s="126"/>
      <c r="BG781" s="126"/>
      <c r="BH781" s="126"/>
      <c r="BI781" s="126"/>
      <c r="BJ781" s="126"/>
      <c r="BK781" s="126"/>
      <c r="BL781" s="126"/>
      <c r="BM781" s="126"/>
      <c r="BN781" s="126"/>
      <c r="BO781" s="126"/>
      <c r="BP781" s="126"/>
      <c r="BQ781" s="126"/>
      <c r="BR781" s="126"/>
      <c r="BS781" s="126"/>
      <c r="BT781" s="126"/>
      <c r="BU781" s="126"/>
      <c r="BV781" s="126"/>
      <c r="BW781" s="126"/>
      <c r="BX781" s="126"/>
      <c r="BY781" s="126"/>
      <c r="BZ781" s="126"/>
      <c r="CA781" s="126"/>
      <c r="CB781" s="126"/>
      <c r="CC781" s="126"/>
      <c r="CD781" s="126"/>
      <c r="CE781" s="126"/>
      <c r="CF781" s="126"/>
      <c r="CG781" s="126"/>
      <c r="CH781" s="126"/>
      <c r="CI781" s="126"/>
      <c r="CJ781" s="126"/>
      <c r="CK781" s="126"/>
    </row>
    <row r="782" spans="1:89" ht="9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  <c r="BD782" s="126"/>
      <c r="BE782" s="126"/>
      <c r="BF782" s="126"/>
      <c r="BG782" s="126"/>
      <c r="BH782" s="126"/>
      <c r="BI782" s="126"/>
      <c r="BJ782" s="126"/>
      <c r="BK782" s="126"/>
      <c r="BL782" s="126"/>
      <c r="BM782" s="126"/>
      <c r="BN782" s="126"/>
      <c r="BO782" s="126"/>
      <c r="BP782" s="126"/>
      <c r="BQ782" s="126"/>
      <c r="BR782" s="126"/>
      <c r="BS782" s="126"/>
      <c r="BT782" s="126"/>
      <c r="BU782" s="126"/>
      <c r="BV782" s="126"/>
      <c r="BW782" s="126"/>
      <c r="BX782" s="126"/>
      <c r="BY782" s="126"/>
      <c r="BZ782" s="126"/>
      <c r="CA782" s="126"/>
      <c r="CB782" s="126"/>
      <c r="CC782" s="126"/>
      <c r="CD782" s="126"/>
      <c r="CE782" s="126"/>
      <c r="CF782" s="126"/>
      <c r="CG782" s="126"/>
      <c r="CH782" s="126"/>
      <c r="CI782" s="126"/>
      <c r="CJ782" s="126"/>
      <c r="CK782" s="126"/>
    </row>
    <row r="783" spans="1:89" ht="9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  <c r="BD783" s="126"/>
      <c r="BE783" s="126"/>
      <c r="BF783" s="126"/>
      <c r="BG783" s="126"/>
      <c r="BH783" s="126"/>
      <c r="BI783" s="126"/>
      <c r="BJ783" s="126"/>
      <c r="BK783" s="126"/>
      <c r="BL783" s="126"/>
      <c r="BM783" s="126"/>
      <c r="BN783" s="126"/>
      <c r="BO783" s="126"/>
      <c r="BP783" s="126"/>
      <c r="BQ783" s="126"/>
      <c r="BR783" s="126"/>
      <c r="BS783" s="126"/>
      <c r="BT783" s="126"/>
      <c r="BU783" s="126"/>
      <c r="BV783" s="126"/>
      <c r="BW783" s="126"/>
      <c r="BX783" s="126"/>
      <c r="BY783" s="126"/>
      <c r="BZ783" s="126"/>
      <c r="CA783" s="126"/>
      <c r="CB783" s="126"/>
      <c r="CC783" s="126"/>
      <c r="CD783" s="126"/>
      <c r="CE783" s="126"/>
      <c r="CF783" s="126"/>
      <c r="CG783" s="126"/>
      <c r="CH783" s="126"/>
      <c r="CI783" s="126"/>
      <c r="CJ783" s="126"/>
      <c r="CK783" s="126"/>
    </row>
    <row r="784" spans="1:89" ht="9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  <c r="BD784" s="126"/>
      <c r="BE784" s="126"/>
      <c r="BF784" s="126"/>
      <c r="BG784" s="126"/>
      <c r="BH784" s="126"/>
      <c r="BI784" s="126"/>
      <c r="BJ784" s="126"/>
      <c r="BK784" s="126"/>
      <c r="BL784" s="126"/>
      <c r="BM784" s="126"/>
      <c r="BN784" s="126"/>
      <c r="BO784" s="126"/>
      <c r="BP784" s="126"/>
      <c r="BQ784" s="126"/>
      <c r="BR784" s="126"/>
      <c r="BS784" s="126"/>
      <c r="BT784" s="126"/>
      <c r="BU784" s="126"/>
      <c r="BV784" s="126"/>
      <c r="BW784" s="126"/>
      <c r="BX784" s="126"/>
      <c r="BY784" s="126"/>
      <c r="BZ784" s="126"/>
      <c r="CA784" s="126"/>
      <c r="CB784" s="126"/>
      <c r="CC784" s="126"/>
      <c r="CD784" s="126"/>
      <c r="CE784" s="126"/>
      <c r="CF784" s="126"/>
      <c r="CG784" s="126"/>
      <c r="CH784" s="126"/>
      <c r="CI784" s="126"/>
      <c r="CJ784" s="126"/>
      <c r="CK784" s="126"/>
    </row>
    <row r="785" spans="1:89" ht="9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  <c r="BD785" s="126"/>
      <c r="BE785" s="126"/>
      <c r="BF785" s="126"/>
      <c r="BG785" s="126"/>
      <c r="BH785" s="126"/>
      <c r="BI785" s="126"/>
      <c r="BJ785" s="126"/>
      <c r="BK785" s="126"/>
      <c r="BL785" s="126"/>
      <c r="BM785" s="126"/>
      <c r="BN785" s="126"/>
      <c r="BO785" s="126"/>
      <c r="BP785" s="126"/>
      <c r="BQ785" s="126"/>
      <c r="BR785" s="126"/>
      <c r="BS785" s="126"/>
      <c r="BT785" s="126"/>
      <c r="BU785" s="126"/>
      <c r="BV785" s="126"/>
      <c r="BW785" s="126"/>
      <c r="BX785" s="126"/>
      <c r="BY785" s="126"/>
      <c r="BZ785" s="126"/>
      <c r="CA785" s="126"/>
      <c r="CB785" s="126"/>
      <c r="CC785" s="126"/>
      <c r="CD785" s="126"/>
      <c r="CE785" s="126"/>
      <c r="CF785" s="126"/>
      <c r="CG785" s="126"/>
      <c r="CH785" s="126"/>
      <c r="CI785" s="126"/>
      <c r="CJ785" s="126"/>
      <c r="CK785" s="126"/>
    </row>
    <row r="786" spans="1:89" ht="9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  <c r="BD786" s="126"/>
      <c r="BE786" s="126"/>
      <c r="BF786" s="126"/>
      <c r="BG786" s="126"/>
      <c r="BH786" s="126"/>
      <c r="BI786" s="126"/>
      <c r="BJ786" s="126"/>
      <c r="BK786" s="126"/>
      <c r="BL786" s="126"/>
      <c r="BM786" s="126"/>
      <c r="BN786" s="126"/>
      <c r="BO786" s="126"/>
      <c r="BP786" s="126"/>
      <c r="BQ786" s="126"/>
      <c r="BR786" s="126"/>
      <c r="BS786" s="126"/>
      <c r="BT786" s="126"/>
      <c r="BU786" s="126"/>
      <c r="BV786" s="126"/>
      <c r="BW786" s="126"/>
      <c r="BX786" s="126"/>
      <c r="BY786" s="126"/>
      <c r="BZ786" s="126"/>
      <c r="CA786" s="126"/>
      <c r="CB786" s="126"/>
      <c r="CC786" s="126"/>
      <c r="CD786" s="126"/>
      <c r="CE786" s="126"/>
      <c r="CF786" s="126"/>
      <c r="CG786" s="126"/>
      <c r="CH786" s="126"/>
      <c r="CI786" s="126"/>
      <c r="CJ786" s="126"/>
      <c r="CK786" s="126"/>
    </row>
    <row r="787" spans="1:89" ht="9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  <c r="BD787" s="126"/>
      <c r="BE787" s="126"/>
      <c r="BF787" s="126"/>
      <c r="BG787" s="126"/>
      <c r="BH787" s="126"/>
      <c r="BI787" s="126"/>
      <c r="BJ787" s="126"/>
      <c r="BK787" s="126"/>
      <c r="BL787" s="126"/>
      <c r="BM787" s="126"/>
      <c r="BN787" s="126"/>
      <c r="BO787" s="126"/>
      <c r="BP787" s="126"/>
      <c r="BQ787" s="126"/>
      <c r="BR787" s="126"/>
      <c r="BS787" s="126"/>
      <c r="BT787" s="126"/>
      <c r="BU787" s="126"/>
      <c r="BV787" s="126"/>
      <c r="BW787" s="126"/>
      <c r="BX787" s="126"/>
      <c r="BY787" s="126"/>
      <c r="BZ787" s="126"/>
      <c r="CA787" s="126"/>
      <c r="CB787" s="126"/>
      <c r="CC787" s="126"/>
      <c r="CD787" s="126"/>
      <c r="CE787" s="126"/>
      <c r="CF787" s="126"/>
      <c r="CG787" s="126"/>
      <c r="CH787" s="126"/>
      <c r="CI787" s="126"/>
      <c r="CJ787" s="126"/>
      <c r="CK787" s="126"/>
    </row>
    <row r="788" spans="1:89" ht="9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  <c r="BD788" s="126"/>
      <c r="BE788" s="126"/>
      <c r="BF788" s="126"/>
      <c r="BG788" s="126"/>
      <c r="BH788" s="126"/>
      <c r="BI788" s="126"/>
      <c r="BJ788" s="126"/>
      <c r="BK788" s="126"/>
      <c r="BL788" s="126"/>
      <c r="BM788" s="126"/>
      <c r="BN788" s="126"/>
      <c r="BO788" s="126"/>
      <c r="BP788" s="126"/>
      <c r="BQ788" s="126"/>
      <c r="BR788" s="126"/>
      <c r="BS788" s="126"/>
      <c r="BT788" s="126"/>
      <c r="BU788" s="126"/>
      <c r="BV788" s="126"/>
      <c r="BW788" s="126"/>
      <c r="BX788" s="126"/>
      <c r="BY788" s="126"/>
      <c r="BZ788" s="126"/>
      <c r="CA788" s="126"/>
      <c r="CB788" s="126"/>
      <c r="CC788" s="126"/>
      <c r="CD788" s="126"/>
      <c r="CE788" s="126"/>
      <c r="CF788" s="126"/>
      <c r="CG788" s="126"/>
      <c r="CH788" s="126"/>
      <c r="CI788" s="126"/>
      <c r="CJ788" s="126"/>
      <c r="CK788" s="126"/>
    </row>
    <row r="789" spans="1:89" ht="9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  <c r="BD789" s="126"/>
      <c r="BE789" s="126"/>
      <c r="BF789" s="126"/>
      <c r="BG789" s="126"/>
      <c r="BH789" s="126"/>
      <c r="BI789" s="126"/>
      <c r="BJ789" s="126"/>
      <c r="BK789" s="126"/>
      <c r="BL789" s="126"/>
      <c r="BM789" s="126"/>
      <c r="BN789" s="126"/>
      <c r="BO789" s="126"/>
      <c r="BP789" s="126"/>
      <c r="BQ789" s="126"/>
      <c r="BR789" s="126"/>
      <c r="BS789" s="126"/>
      <c r="BT789" s="126"/>
      <c r="BU789" s="126"/>
      <c r="BV789" s="126"/>
      <c r="BW789" s="126"/>
      <c r="BX789" s="126"/>
      <c r="BY789" s="126"/>
      <c r="BZ789" s="126"/>
      <c r="CA789" s="126"/>
      <c r="CB789" s="126"/>
      <c r="CC789" s="126"/>
      <c r="CD789" s="126"/>
      <c r="CE789" s="126"/>
      <c r="CF789" s="126"/>
      <c r="CG789" s="126"/>
      <c r="CH789" s="126"/>
      <c r="CI789" s="126"/>
      <c r="CJ789" s="126"/>
      <c r="CK789" s="126"/>
    </row>
    <row r="790" spans="1:89" ht="9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  <c r="BD790" s="126"/>
      <c r="BE790" s="126"/>
      <c r="BF790" s="126"/>
      <c r="BG790" s="126"/>
      <c r="BH790" s="126"/>
      <c r="BI790" s="126"/>
      <c r="BJ790" s="126"/>
      <c r="BK790" s="126"/>
      <c r="BL790" s="126"/>
      <c r="BM790" s="126"/>
      <c r="BN790" s="126"/>
      <c r="BO790" s="126"/>
      <c r="BP790" s="126"/>
      <c r="BQ790" s="126"/>
      <c r="BR790" s="126"/>
      <c r="BS790" s="126"/>
      <c r="BT790" s="126"/>
      <c r="BU790" s="126"/>
      <c r="BV790" s="126"/>
      <c r="BW790" s="126"/>
      <c r="BX790" s="126"/>
      <c r="BY790" s="126"/>
      <c r="BZ790" s="126"/>
      <c r="CA790" s="126"/>
      <c r="CB790" s="126"/>
      <c r="CC790" s="126"/>
      <c r="CD790" s="126"/>
      <c r="CE790" s="126"/>
      <c r="CF790" s="126"/>
      <c r="CG790" s="126"/>
      <c r="CH790" s="126"/>
      <c r="CI790" s="126"/>
      <c r="CJ790" s="126"/>
      <c r="CK790" s="126"/>
    </row>
    <row r="791" spans="1:89" ht="9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  <c r="BD791" s="126"/>
      <c r="BE791" s="126"/>
      <c r="BF791" s="126"/>
      <c r="BG791" s="126"/>
      <c r="BH791" s="126"/>
      <c r="BI791" s="126"/>
      <c r="BJ791" s="126"/>
      <c r="BK791" s="126"/>
      <c r="BL791" s="126"/>
      <c r="BM791" s="126"/>
      <c r="BN791" s="126"/>
      <c r="BO791" s="126"/>
      <c r="BP791" s="126"/>
      <c r="BQ791" s="126"/>
      <c r="BR791" s="126"/>
      <c r="BS791" s="126"/>
      <c r="BT791" s="126"/>
      <c r="BU791" s="126"/>
      <c r="BV791" s="126"/>
      <c r="BW791" s="126"/>
      <c r="BX791" s="126"/>
      <c r="BY791" s="126"/>
      <c r="BZ791" s="126"/>
      <c r="CA791" s="126"/>
      <c r="CB791" s="126"/>
      <c r="CC791" s="126"/>
      <c r="CD791" s="126"/>
      <c r="CE791" s="126"/>
      <c r="CF791" s="126"/>
      <c r="CG791" s="126"/>
      <c r="CH791" s="126"/>
      <c r="CI791" s="126"/>
      <c r="CJ791" s="126"/>
      <c r="CK791" s="126"/>
    </row>
    <row r="792" spans="1:89" ht="9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  <c r="BD792" s="126"/>
      <c r="BE792" s="126"/>
      <c r="BF792" s="126"/>
      <c r="BG792" s="126"/>
      <c r="BH792" s="126"/>
      <c r="BI792" s="126"/>
      <c r="BJ792" s="126"/>
      <c r="BK792" s="126"/>
      <c r="BL792" s="126"/>
      <c r="BM792" s="126"/>
      <c r="BN792" s="126"/>
      <c r="BO792" s="126"/>
      <c r="BP792" s="126"/>
      <c r="BQ792" s="126"/>
      <c r="BR792" s="126"/>
      <c r="BS792" s="126"/>
      <c r="BT792" s="126"/>
      <c r="BU792" s="126"/>
      <c r="BV792" s="126"/>
      <c r="BW792" s="126"/>
      <c r="BX792" s="126"/>
      <c r="BY792" s="126"/>
      <c r="BZ792" s="126"/>
      <c r="CA792" s="126"/>
      <c r="CB792" s="126"/>
      <c r="CC792" s="126"/>
      <c r="CD792" s="126"/>
      <c r="CE792" s="126"/>
      <c r="CF792" s="126"/>
      <c r="CG792" s="126"/>
      <c r="CH792" s="126"/>
      <c r="CI792" s="126"/>
      <c r="CJ792" s="126"/>
      <c r="CK792" s="126"/>
    </row>
    <row r="793" spans="1:89" ht="9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  <c r="BD793" s="126"/>
      <c r="BE793" s="126"/>
      <c r="BF793" s="126"/>
      <c r="BG793" s="126"/>
      <c r="BH793" s="126"/>
      <c r="BI793" s="126"/>
      <c r="BJ793" s="126"/>
      <c r="BK793" s="126"/>
      <c r="BL793" s="126"/>
      <c r="BM793" s="126"/>
      <c r="BN793" s="126"/>
      <c r="BO793" s="126"/>
      <c r="BP793" s="126"/>
      <c r="BQ793" s="126"/>
      <c r="BR793" s="126"/>
      <c r="BS793" s="126"/>
      <c r="BT793" s="126"/>
      <c r="BU793" s="126"/>
      <c r="BV793" s="126"/>
      <c r="BW793" s="126"/>
      <c r="BX793" s="126"/>
      <c r="BY793" s="126"/>
      <c r="BZ793" s="126"/>
      <c r="CA793" s="126"/>
      <c r="CB793" s="126"/>
      <c r="CC793" s="126"/>
      <c r="CD793" s="126"/>
      <c r="CE793" s="126"/>
      <c r="CF793" s="126"/>
      <c r="CG793" s="126"/>
      <c r="CH793" s="126"/>
      <c r="CI793" s="126"/>
      <c r="CJ793" s="126"/>
      <c r="CK793" s="126"/>
    </row>
    <row r="794" spans="1:89" ht="9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  <c r="BD794" s="126"/>
      <c r="BE794" s="126"/>
      <c r="BF794" s="126"/>
      <c r="BG794" s="126"/>
      <c r="BH794" s="126"/>
      <c r="BI794" s="126"/>
      <c r="BJ794" s="126"/>
      <c r="BK794" s="126"/>
      <c r="BL794" s="126"/>
      <c r="BM794" s="126"/>
      <c r="BN794" s="126"/>
      <c r="BO794" s="126"/>
      <c r="BP794" s="126"/>
      <c r="BQ794" s="126"/>
      <c r="BR794" s="126"/>
      <c r="BS794" s="126"/>
      <c r="BT794" s="126"/>
      <c r="BU794" s="126"/>
      <c r="BV794" s="126"/>
      <c r="BW794" s="126"/>
      <c r="BX794" s="126"/>
      <c r="BY794" s="126"/>
      <c r="BZ794" s="126"/>
      <c r="CA794" s="126"/>
      <c r="CB794" s="126"/>
      <c r="CC794" s="126"/>
      <c r="CD794" s="126"/>
      <c r="CE794" s="126"/>
      <c r="CF794" s="126"/>
      <c r="CG794" s="126"/>
      <c r="CH794" s="126"/>
      <c r="CI794" s="126"/>
      <c r="CJ794" s="126"/>
      <c r="CK794" s="126"/>
    </row>
    <row r="795" spans="1:89" ht="9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  <c r="BD795" s="126"/>
      <c r="BE795" s="126"/>
      <c r="BF795" s="126"/>
      <c r="BG795" s="126"/>
      <c r="BH795" s="126"/>
      <c r="BI795" s="126"/>
      <c r="BJ795" s="126"/>
      <c r="BK795" s="126"/>
      <c r="BL795" s="126"/>
      <c r="BM795" s="126"/>
      <c r="BN795" s="126"/>
      <c r="BO795" s="126"/>
      <c r="BP795" s="126"/>
      <c r="BQ795" s="126"/>
      <c r="BR795" s="126"/>
      <c r="BS795" s="126"/>
      <c r="BT795" s="126"/>
      <c r="BU795" s="126"/>
      <c r="BV795" s="126"/>
      <c r="BW795" s="126"/>
      <c r="BX795" s="126"/>
      <c r="BY795" s="126"/>
      <c r="BZ795" s="126"/>
      <c r="CA795" s="126"/>
      <c r="CB795" s="126"/>
      <c r="CC795" s="126"/>
      <c r="CD795" s="126"/>
      <c r="CE795" s="126"/>
      <c r="CF795" s="126"/>
      <c r="CG795" s="126"/>
      <c r="CH795" s="126"/>
      <c r="CI795" s="126"/>
      <c r="CJ795" s="126"/>
      <c r="CK795" s="126"/>
    </row>
    <row r="796" spans="1:89" ht="9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  <c r="BD796" s="126"/>
      <c r="BE796" s="126"/>
      <c r="BF796" s="126"/>
      <c r="BG796" s="126"/>
      <c r="BH796" s="126"/>
      <c r="BI796" s="126"/>
      <c r="BJ796" s="126"/>
      <c r="BK796" s="126"/>
      <c r="BL796" s="126"/>
      <c r="BM796" s="126"/>
      <c r="BN796" s="126"/>
      <c r="BO796" s="126"/>
      <c r="BP796" s="126"/>
      <c r="BQ796" s="126"/>
      <c r="BR796" s="126"/>
      <c r="BS796" s="126"/>
      <c r="BT796" s="126"/>
      <c r="BU796" s="126"/>
      <c r="BV796" s="126"/>
      <c r="BW796" s="126"/>
      <c r="BX796" s="126"/>
      <c r="BY796" s="126"/>
      <c r="BZ796" s="126"/>
      <c r="CA796" s="126"/>
      <c r="CB796" s="126"/>
      <c r="CC796" s="126"/>
      <c r="CD796" s="126"/>
      <c r="CE796" s="126"/>
      <c r="CF796" s="126"/>
      <c r="CG796" s="126"/>
      <c r="CH796" s="126"/>
      <c r="CI796" s="126"/>
      <c r="CJ796" s="126"/>
      <c r="CK796" s="126"/>
    </row>
    <row r="797" spans="1:89" ht="9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  <c r="BD797" s="126"/>
      <c r="BE797" s="126"/>
      <c r="BF797" s="126"/>
      <c r="BG797" s="126"/>
      <c r="BH797" s="126"/>
      <c r="BI797" s="126"/>
      <c r="BJ797" s="126"/>
      <c r="BK797" s="126"/>
      <c r="BL797" s="126"/>
      <c r="BM797" s="126"/>
      <c r="BN797" s="126"/>
      <c r="BO797" s="126"/>
      <c r="BP797" s="126"/>
      <c r="BQ797" s="126"/>
      <c r="BR797" s="126"/>
      <c r="BS797" s="126"/>
      <c r="BT797" s="126"/>
      <c r="BU797" s="126"/>
      <c r="BV797" s="126"/>
      <c r="BW797" s="126"/>
      <c r="BX797" s="126"/>
      <c r="BY797" s="126"/>
      <c r="BZ797" s="126"/>
      <c r="CA797" s="126"/>
      <c r="CB797" s="126"/>
      <c r="CC797" s="126"/>
      <c r="CD797" s="126"/>
      <c r="CE797" s="126"/>
      <c r="CF797" s="126"/>
      <c r="CG797" s="126"/>
      <c r="CH797" s="126"/>
      <c r="CI797" s="126"/>
      <c r="CJ797" s="126"/>
      <c r="CK797" s="126"/>
    </row>
    <row r="798" spans="1:89" ht="9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  <c r="BD798" s="126"/>
      <c r="BE798" s="126"/>
      <c r="BF798" s="126"/>
      <c r="BG798" s="126"/>
      <c r="BH798" s="126"/>
      <c r="BI798" s="126"/>
      <c r="BJ798" s="126"/>
      <c r="BK798" s="126"/>
      <c r="BL798" s="126"/>
      <c r="BM798" s="126"/>
      <c r="BN798" s="126"/>
      <c r="BO798" s="126"/>
      <c r="BP798" s="126"/>
      <c r="BQ798" s="126"/>
      <c r="BR798" s="126"/>
      <c r="BS798" s="126"/>
      <c r="BT798" s="126"/>
      <c r="BU798" s="126"/>
      <c r="BV798" s="126"/>
      <c r="BW798" s="126"/>
      <c r="BX798" s="126"/>
      <c r="BY798" s="126"/>
      <c r="BZ798" s="126"/>
      <c r="CA798" s="126"/>
      <c r="CB798" s="126"/>
      <c r="CC798" s="126"/>
      <c r="CD798" s="126"/>
      <c r="CE798" s="126"/>
      <c r="CF798" s="126"/>
      <c r="CG798" s="126"/>
      <c r="CH798" s="126"/>
      <c r="CI798" s="126"/>
      <c r="CJ798" s="126"/>
      <c r="CK798" s="126"/>
    </row>
    <row r="799" spans="1:89" ht="9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  <c r="BD799" s="126"/>
      <c r="BE799" s="126"/>
      <c r="BF799" s="126"/>
      <c r="BG799" s="126"/>
      <c r="BH799" s="126"/>
      <c r="BI799" s="126"/>
      <c r="BJ799" s="126"/>
      <c r="BK799" s="126"/>
      <c r="BL799" s="126"/>
      <c r="BM799" s="126"/>
      <c r="BN799" s="126"/>
      <c r="BO799" s="126"/>
      <c r="BP799" s="126"/>
      <c r="BQ799" s="126"/>
      <c r="BR799" s="126"/>
      <c r="BS799" s="126"/>
      <c r="BT799" s="126"/>
      <c r="BU799" s="126"/>
      <c r="BV799" s="126"/>
      <c r="BW799" s="126"/>
      <c r="BX799" s="126"/>
      <c r="BY799" s="126"/>
      <c r="BZ799" s="126"/>
      <c r="CA799" s="126"/>
      <c r="CB799" s="126"/>
      <c r="CC799" s="126"/>
      <c r="CD799" s="126"/>
      <c r="CE799" s="126"/>
      <c r="CF799" s="126"/>
      <c r="CG799" s="126"/>
      <c r="CH799" s="126"/>
      <c r="CI799" s="126"/>
      <c r="CJ799" s="126"/>
      <c r="CK799" s="126"/>
    </row>
    <row r="800" spans="1:89" ht="9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  <c r="BD800" s="126"/>
      <c r="BE800" s="126"/>
      <c r="BF800" s="126"/>
      <c r="BG800" s="126"/>
      <c r="BH800" s="126"/>
      <c r="BI800" s="126"/>
      <c r="BJ800" s="126"/>
      <c r="BK800" s="126"/>
      <c r="BL800" s="126"/>
      <c r="BM800" s="126"/>
      <c r="BN800" s="126"/>
      <c r="BO800" s="126"/>
      <c r="BP800" s="126"/>
      <c r="BQ800" s="126"/>
      <c r="BR800" s="126"/>
      <c r="BS800" s="126"/>
      <c r="BT800" s="126"/>
      <c r="BU800" s="126"/>
      <c r="BV800" s="126"/>
      <c r="BW800" s="126"/>
      <c r="BX800" s="126"/>
      <c r="BY800" s="126"/>
      <c r="BZ800" s="126"/>
      <c r="CA800" s="126"/>
      <c r="CB800" s="126"/>
      <c r="CC800" s="126"/>
      <c r="CD800" s="126"/>
      <c r="CE800" s="126"/>
      <c r="CF800" s="126"/>
      <c r="CG800" s="126"/>
      <c r="CH800" s="126"/>
      <c r="CI800" s="126"/>
      <c r="CJ800" s="126"/>
      <c r="CK800" s="126"/>
    </row>
    <row r="801" spans="1:89" ht="9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  <c r="BD801" s="126"/>
      <c r="BE801" s="126"/>
      <c r="BF801" s="126"/>
      <c r="BG801" s="126"/>
      <c r="BH801" s="126"/>
      <c r="BI801" s="126"/>
      <c r="BJ801" s="126"/>
      <c r="BK801" s="126"/>
      <c r="BL801" s="126"/>
      <c r="BM801" s="126"/>
      <c r="BN801" s="126"/>
      <c r="BO801" s="126"/>
      <c r="BP801" s="126"/>
      <c r="BQ801" s="126"/>
      <c r="BR801" s="126"/>
      <c r="BS801" s="126"/>
      <c r="BT801" s="126"/>
      <c r="BU801" s="126"/>
      <c r="BV801" s="126"/>
      <c r="BW801" s="126"/>
      <c r="BX801" s="126"/>
      <c r="BY801" s="126"/>
      <c r="BZ801" s="126"/>
      <c r="CA801" s="126"/>
      <c r="CB801" s="126"/>
      <c r="CC801" s="126"/>
      <c r="CD801" s="126"/>
      <c r="CE801" s="126"/>
      <c r="CF801" s="126"/>
      <c r="CG801" s="126"/>
      <c r="CH801" s="126"/>
      <c r="CI801" s="126"/>
      <c r="CJ801" s="126"/>
      <c r="CK801" s="126"/>
    </row>
    <row r="802" spans="1:89" ht="9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  <c r="BD802" s="126"/>
      <c r="BE802" s="126"/>
      <c r="BF802" s="126"/>
      <c r="BG802" s="126"/>
      <c r="BH802" s="126"/>
      <c r="BI802" s="126"/>
      <c r="BJ802" s="126"/>
      <c r="BK802" s="126"/>
      <c r="BL802" s="126"/>
      <c r="BM802" s="126"/>
      <c r="BN802" s="126"/>
      <c r="BO802" s="126"/>
      <c r="BP802" s="126"/>
      <c r="BQ802" s="126"/>
      <c r="BR802" s="126"/>
      <c r="BS802" s="126"/>
      <c r="BT802" s="126"/>
      <c r="BU802" s="126"/>
      <c r="BV802" s="126"/>
      <c r="BW802" s="126"/>
      <c r="BX802" s="126"/>
      <c r="BY802" s="126"/>
      <c r="BZ802" s="126"/>
      <c r="CA802" s="126"/>
      <c r="CB802" s="126"/>
      <c r="CC802" s="126"/>
      <c r="CD802" s="126"/>
      <c r="CE802" s="126"/>
      <c r="CF802" s="126"/>
      <c r="CG802" s="126"/>
      <c r="CH802" s="126"/>
      <c r="CI802" s="126"/>
      <c r="CJ802" s="126"/>
      <c r="CK802" s="126"/>
    </row>
    <row r="803" spans="1:89" ht="9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  <c r="BD803" s="126"/>
      <c r="BE803" s="126"/>
      <c r="BF803" s="126"/>
      <c r="BG803" s="126"/>
      <c r="BH803" s="126"/>
      <c r="BI803" s="126"/>
      <c r="BJ803" s="126"/>
      <c r="BK803" s="126"/>
      <c r="BL803" s="126"/>
      <c r="BM803" s="126"/>
      <c r="BN803" s="126"/>
      <c r="BO803" s="126"/>
      <c r="BP803" s="126"/>
      <c r="BQ803" s="126"/>
      <c r="BR803" s="126"/>
      <c r="BS803" s="126"/>
      <c r="BT803" s="126"/>
      <c r="BU803" s="126"/>
      <c r="BV803" s="126"/>
      <c r="BW803" s="126"/>
      <c r="BX803" s="126"/>
      <c r="BY803" s="126"/>
      <c r="BZ803" s="126"/>
      <c r="CA803" s="126"/>
      <c r="CB803" s="126"/>
      <c r="CC803" s="126"/>
      <c r="CD803" s="126"/>
      <c r="CE803" s="126"/>
      <c r="CF803" s="126"/>
      <c r="CG803" s="126"/>
      <c r="CH803" s="126"/>
      <c r="CI803" s="126"/>
      <c r="CJ803" s="126"/>
      <c r="CK803" s="126"/>
    </row>
    <row r="804" spans="1:89" ht="9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  <c r="BD804" s="126"/>
      <c r="BE804" s="126"/>
      <c r="BF804" s="126"/>
      <c r="BG804" s="126"/>
      <c r="BH804" s="126"/>
      <c r="BI804" s="126"/>
      <c r="BJ804" s="126"/>
      <c r="BK804" s="126"/>
      <c r="BL804" s="126"/>
      <c r="BM804" s="126"/>
      <c r="BN804" s="126"/>
      <c r="BO804" s="126"/>
      <c r="BP804" s="126"/>
      <c r="BQ804" s="126"/>
      <c r="BR804" s="126"/>
      <c r="BS804" s="126"/>
      <c r="BT804" s="126"/>
      <c r="BU804" s="126"/>
      <c r="BV804" s="126"/>
      <c r="BW804" s="126"/>
      <c r="BX804" s="126"/>
      <c r="BY804" s="126"/>
      <c r="BZ804" s="126"/>
      <c r="CA804" s="126"/>
      <c r="CB804" s="126"/>
      <c r="CC804" s="126"/>
      <c r="CD804" s="126"/>
      <c r="CE804" s="126"/>
      <c r="CF804" s="126"/>
      <c r="CG804" s="126"/>
      <c r="CH804" s="126"/>
      <c r="CI804" s="126"/>
      <c r="CJ804" s="126"/>
      <c r="CK804" s="126"/>
    </row>
    <row r="805" spans="1:89" ht="9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126"/>
      <c r="BF805" s="126"/>
      <c r="BG805" s="126"/>
      <c r="BH805" s="126"/>
      <c r="BI805" s="126"/>
      <c r="BJ805" s="126"/>
      <c r="BK805" s="126"/>
      <c r="BL805" s="126"/>
      <c r="BM805" s="126"/>
      <c r="BN805" s="126"/>
      <c r="BO805" s="126"/>
      <c r="BP805" s="126"/>
      <c r="BQ805" s="126"/>
      <c r="BR805" s="126"/>
      <c r="BS805" s="126"/>
      <c r="BT805" s="126"/>
      <c r="BU805" s="126"/>
      <c r="BV805" s="126"/>
      <c r="BW805" s="126"/>
      <c r="BX805" s="126"/>
      <c r="BY805" s="126"/>
      <c r="BZ805" s="126"/>
      <c r="CA805" s="126"/>
      <c r="CB805" s="126"/>
      <c r="CC805" s="126"/>
      <c r="CD805" s="126"/>
      <c r="CE805" s="126"/>
      <c r="CF805" s="126"/>
      <c r="CG805" s="126"/>
      <c r="CH805" s="126"/>
      <c r="CI805" s="126"/>
      <c r="CJ805" s="126"/>
      <c r="CK805" s="126"/>
    </row>
    <row r="806" spans="1:89" ht="9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  <c r="BD806" s="126"/>
      <c r="BE806" s="126"/>
      <c r="BF806" s="126"/>
      <c r="BG806" s="126"/>
      <c r="BH806" s="126"/>
      <c r="BI806" s="126"/>
      <c r="BJ806" s="126"/>
      <c r="BK806" s="126"/>
      <c r="BL806" s="126"/>
      <c r="BM806" s="126"/>
      <c r="BN806" s="126"/>
      <c r="BO806" s="126"/>
      <c r="BP806" s="126"/>
      <c r="BQ806" s="126"/>
      <c r="BR806" s="126"/>
      <c r="BS806" s="126"/>
      <c r="BT806" s="126"/>
      <c r="BU806" s="126"/>
      <c r="BV806" s="126"/>
      <c r="BW806" s="126"/>
      <c r="BX806" s="126"/>
      <c r="BY806" s="126"/>
      <c r="BZ806" s="126"/>
      <c r="CA806" s="126"/>
      <c r="CB806" s="126"/>
      <c r="CC806" s="126"/>
      <c r="CD806" s="126"/>
      <c r="CE806" s="126"/>
      <c r="CF806" s="126"/>
      <c r="CG806" s="126"/>
      <c r="CH806" s="126"/>
      <c r="CI806" s="126"/>
      <c r="CJ806" s="126"/>
      <c r="CK806" s="126"/>
    </row>
    <row r="807" spans="1:89" ht="9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126"/>
      <c r="BF807" s="126"/>
      <c r="BG807" s="126"/>
      <c r="BH807" s="126"/>
      <c r="BI807" s="126"/>
      <c r="BJ807" s="126"/>
      <c r="BK807" s="126"/>
      <c r="BL807" s="126"/>
      <c r="BM807" s="126"/>
      <c r="BN807" s="126"/>
      <c r="BO807" s="126"/>
      <c r="BP807" s="126"/>
      <c r="BQ807" s="126"/>
      <c r="BR807" s="126"/>
      <c r="BS807" s="126"/>
      <c r="BT807" s="126"/>
      <c r="BU807" s="126"/>
      <c r="BV807" s="126"/>
      <c r="BW807" s="126"/>
      <c r="BX807" s="126"/>
      <c r="BY807" s="126"/>
      <c r="BZ807" s="126"/>
      <c r="CA807" s="126"/>
      <c r="CB807" s="126"/>
      <c r="CC807" s="126"/>
      <c r="CD807" s="126"/>
      <c r="CE807" s="126"/>
      <c r="CF807" s="126"/>
      <c r="CG807" s="126"/>
      <c r="CH807" s="126"/>
      <c r="CI807" s="126"/>
      <c r="CJ807" s="126"/>
      <c r="CK807" s="126"/>
    </row>
    <row r="808" spans="1:89" ht="9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  <c r="BD808" s="126"/>
      <c r="BE808" s="126"/>
      <c r="BF808" s="126"/>
      <c r="BG808" s="126"/>
      <c r="BH808" s="126"/>
      <c r="BI808" s="126"/>
      <c r="BJ808" s="126"/>
      <c r="BK808" s="126"/>
      <c r="BL808" s="126"/>
      <c r="BM808" s="126"/>
      <c r="BN808" s="126"/>
      <c r="BO808" s="126"/>
      <c r="BP808" s="126"/>
      <c r="BQ808" s="126"/>
      <c r="BR808" s="126"/>
      <c r="BS808" s="126"/>
      <c r="BT808" s="126"/>
      <c r="BU808" s="126"/>
      <c r="BV808" s="126"/>
      <c r="BW808" s="126"/>
      <c r="BX808" s="126"/>
      <c r="BY808" s="126"/>
      <c r="BZ808" s="126"/>
      <c r="CA808" s="126"/>
      <c r="CB808" s="126"/>
      <c r="CC808" s="126"/>
      <c r="CD808" s="126"/>
      <c r="CE808" s="126"/>
      <c r="CF808" s="126"/>
      <c r="CG808" s="126"/>
      <c r="CH808" s="126"/>
      <c r="CI808" s="126"/>
      <c r="CJ808" s="126"/>
      <c r="CK808" s="126"/>
    </row>
    <row r="809" spans="1:89" ht="9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126"/>
      <c r="BF809" s="126"/>
      <c r="BG809" s="126"/>
      <c r="BH809" s="126"/>
      <c r="BI809" s="126"/>
      <c r="BJ809" s="126"/>
      <c r="BK809" s="126"/>
      <c r="BL809" s="126"/>
      <c r="BM809" s="126"/>
      <c r="BN809" s="126"/>
      <c r="BO809" s="126"/>
      <c r="BP809" s="126"/>
      <c r="BQ809" s="126"/>
      <c r="BR809" s="126"/>
      <c r="BS809" s="126"/>
      <c r="BT809" s="126"/>
      <c r="BU809" s="126"/>
      <c r="BV809" s="126"/>
      <c r="BW809" s="126"/>
      <c r="BX809" s="126"/>
      <c r="BY809" s="126"/>
      <c r="BZ809" s="126"/>
      <c r="CA809" s="126"/>
      <c r="CB809" s="126"/>
      <c r="CC809" s="126"/>
      <c r="CD809" s="126"/>
      <c r="CE809" s="126"/>
      <c r="CF809" s="126"/>
      <c r="CG809" s="126"/>
      <c r="CH809" s="126"/>
      <c r="CI809" s="126"/>
      <c r="CJ809" s="126"/>
      <c r="CK809" s="126"/>
    </row>
    <row r="810" spans="1:89" ht="9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  <c r="BD810" s="126"/>
      <c r="BE810" s="126"/>
      <c r="BF810" s="126"/>
      <c r="BG810" s="126"/>
      <c r="BH810" s="126"/>
      <c r="BI810" s="126"/>
      <c r="BJ810" s="126"/>
      <c r="BK810" s="126"/>
      <c r="BL810" s="126"/>
      <c r="BM810" s="126"/>
      <c r="BN810" s="126"/>
      <c r="BO810" s="126"/>
      <c r="BP810" s="126"/>
      <c r="BQ810" s="126"/>
      <c r="BR810" s="126"/>
      <c r="BS810" s="126"/>
      <c r="BT810" s="126"/>
      <c r="BU810" s="126"/>
      <c r="BV810" s="126"/>
      <c r="BW810" s="126"/>
      <c r="BX810" s="126"/>
      <c r="BY810" s="126"/>
      <c r="BZ810" s="126"/>
      <c r="CA810" s="126"/>
      <c r="CB810" s="126"/>
      <c r="CC810" s="126"/>
      <c r="CD810" s="126"/>
      <c r="CE810" s="126"/>
      <c r="CF810" s="126"/>
      <c r="CG810" s="126"/>
      <c r="CH810" s="126"/>
      <c r="CI810" s="126"/>
      <c r="CJ810" s="126"/>
      <c r="CK810" s="126"/>
    </row>
    <row r="811" spans="1:89" ht="9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126"/>
      <c r="BF811" s="126"/>
      <c r="BG811" s="126"/>
      <c r="BH811" s="126"/>
      <c r="BI811" s="126"/>
      <c r="BJ811" s="126"/>
      <c r="BK811" s="126"/>
      <c r="BL811" s="126"/>
      <c r="BM811" s="126"/>
      <c r="BN811" s="126"/>
      <c r="BO811" s="126"/>
      <c r="BP811" s="126"/>
      <c r="BQ811" s="126"/>
      <c r="BR811" s="126"/>
      <c r="BS811" s="126"/>
      <c r="BT811" s="126"/>
      <c r="BU811" s="126"/>
      <c r="BV811" s="126"/>
      <c r="BW811" s="126"/>
      <c r="BX811" s="126"/>
      <c r="BY811" s="126"/>
      <c r="BZ811" s="126"/>
      <c r="CA811" s="126"/>
      <c r="CB811" s="126"/>
      <c r="CC811" s="126"/>
      <c r="CD811" s="126"/>
      <c r="CE811" s="126"/>
      <c r="CF811" s="126"/>
      <c r="CG811" s="126"/>
      <c r="CH811" s="126"/>
      <c r="CI811" s="126"/>
      <c r="CJ811" s="126"/>
      <c r="CK811" s="126"/>
    </row>
    <row r="812" spans="1:89" ht="9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  <c r="BD812" s="126"/>
      <c r="BE812" s="126"/>
      <c r="BF812" s="126"/>
      <c r="BG812" s="126"/>
      <c r="BH812" s="126"/>
      <c r="BI812" s="126"/>
      <c r="BJ812" s="126"/>
      <c r="BK812" s="126"/>
      <c r="BL812" s="126"/>
      <c r="BM812" s="126"/>
      <c r="BN812" s="126"/>
      <c r="BO812" s="126"/>
      <c r="BP812" s="126"/>
      <c r="BQ812" s="126"/>
      <c r="BR812" s="126"/>
      <c r="BS812" s="126"/>
      <c r="BT812" s="126"/>
      <c r="BU812" s="126"/>
      <c r="BV812" s="126"/>
      <c r="BW812" s="126"/>
      <c r="BX812" s="126"/>
      <c r="BY812" s="126"/>
      <c r="BZ812" s="126"/>
      <c r="CA812" s="126"/>
      <c r="CB812" s="126"/>
      <c r="CC812" s="126"/>
      <c r="CD812" s="126"/>
      <c r="CE812" s="126"/>
      <c r="CF812" s="126"/>
      <c r="CG812" s="126"/>
      <c r="CH812" s="126"/>
      <c r="CI812" s="126"/>
      <c r="CJ812" s="126"/>
      <c r="CK812" s="126"/>
    </row>
    <row r="813" spans="1:89" ht="9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  <c r="BD813" s="126"/>
      <c r="BE813" s="126"/>
      <c r="BF813" s="126"/>
      <c r="BG813" s="126"/>
      <c r="BH813" s="126"/>
      <c r="BI813" s="126"/>
      <c r="BJ813" s="126"/>
      <c r="BK813" s="126"/>
      <c r="BL813" s="126"/>
      <c r="BM813" s="126"/>
      <c r="BN813" s="126"/>
      <c r="BO813" s="126"/>
      <c r="BP813" s="126"/>
      <c r="BQ813" s="126"/>
      <c r="BR813" s="126"/>
      <c r="BS813" s="126"/>
      <c r="BT813" s="126"/>
      <c r="BU813" s="126"/>
      <c r="BV813" s="126"/>
      <c r="BW813" s="126"/>
      <c r="BX813" s="126"/>
      <c r="BY813" s="126"/>
      <c r="BZ813" s="126"/>
      <c r="CA813" s="126"/>
      <c r="CB813" s="126"/>
      <c r="CC813" s="126"/>
      <c r="CD813" s="126"/>
      <c r="CE813" s="126"/>
      <c r="CF813" s="126"/>
      <c r="CG813" s="126"/>
      <c r="CH813" s="126"/>
      <c r="CI813" s="126"/>
      <c r="CJ813" s="126"/>
      <c r="CK813" s="126"/>
    </row>
    <row r="814" spans="1:89" ht="9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  <c r="BD814" s="126"/>
      <c r="BE814" s="126"/>
      <c r="BF814" s="126"/>
      <c r="BG814" s="126"/>
      <c r="BH814" s="126"/>
      <c r="BI814" s="126"/>
      <c r="BJ814" s="126"/>
      <c r="BK814" s="126"/>
      <c r="BL814" s="126"/>
      <c r="BM814" s="126"/>
      <c r="BN814" s="126"/>
      <c r="BO814" s="126"/>
      <c r="BP814" s="126"/>
      <c r="BQ814" s="126"/>
      <c r="BR814" s="126"/>
      <c r="BS814" s="126"/>
      <c r="BT814" s="126"/>
      <c r="BU814" s="126"/>
      <c r="BV814" s="126"/>
      <c r="BW814" s="126"/>
      <c r="BX814" s="126"/>
      <c r="BY814" s="126"/>
      <c r="BZ814" s="126"/>
      <c r="CA814" s="126"/>
      <c r="CB814" s="126"/>
      <c r="CC814" s="126"/>
      <c r="CD814" s="126"/>
      <c r="CE814" s="126"/>
      <c r="CF814" s="126"/>
      <c r="CG814" s="126"/>
      <c r="CH814" s="126"/>
      <c r="CI814" s="126"/>
      <c r="CJ814" s="126"/>
      <c r="CK814" s="126"/>
    </row>
    <row r="815" spans="1:89" ht="9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  <c r="BD815" s="126"/>
      <c r="BE815" s="126"/>
      <c r="BF815" s="126"/>
      <c r="BG815" s="126"/>
      <c r="BH815" s="126"/>
      <c r="BI815" s="126"/>
      <c r="BJ815" s="126"/>
      <c r="BK815" s="126"/>
      <c r="BL815" s="126"/>
      <c r="BM815" s="126"/>
      <c r="BN815" s="126"/>
      <c r="BO815" s="126"/>
      <c r="BP815" s="126"/>
      <c r="BQ815" s="126"/>
      <c r="BR815" s="126"/>
      <c r="BS815" s="126"/>
      <c r="BT815" s="126"/>
      <c r="BU815" s="126"/>
      <c r="BV815" s="126"/>
      <c r="BW815" s="126"/>
      <c r="BX815" s="126"/>
      <c r="BY815" s="126"/>
      <c r="BZ815" s="126"/>
      <c r="CA815" s="126"/>
      <c r="CB815" s="126"/>
      <c r="CC815" s="126"/>
      <c r="CD815" s="126"/>
      <c r="CE815" s="126"/>
      <c r="CF815" s="126"/>
      <c r="CG815" s="126"/>
      <c r="CH815" s="126"/>
      <c r="CI815" s="126"/>
      <c r="CJ815" s="126"/>
      <c r="CK815" s="126"/>
    </row>
    <row r="816" spans="1:89" ht="9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  <c r="BD816" s="126"/>
      <c r="BE816" s="126"/>
      <c r="BF816" s="126"/>
      <c r="BG816" s="126"/>
      <c r="BH816" s="126"/>
      <c r="BI816" s="126"/>
      <c r="BJ816" s="126"/>
      <c r="BK816" s="126"/>
      <c r="BL816" s="126"/>
      <c r="BM816" s="126"/>
      <c r="BN816" s="126"/>
      <c r="BO816" s="126"/>
      <c r="BP816" s="126"/>
      <c r="BQ816" s="126"/>
      <c r="BR816" s="126"/>
      <c r="BS816" s="126"/>
      <c r="BT816" s="126"/>
      <c r="BU816" s="126"/>
      <c r="BV816" s="126"/>
      <c r="BW816" s="126"/>
      <c r="BX816" s="126"/>
      <c r="BY816" s="126"/>
      <c r="BZ816" s="126"/>
      <c r="CA816" s="126"/>
      <c r="CB816" s="126"/>
      <c r="CC816" s="126"/>
      <c r="CD816" s="126"/>
      <c r="CE816" s="126"/>
      <c r="CF816" s="126"/>
      <c r="CG816" s="126"/>
      <c r="CH816" s="126"/>
      <c r="CI816" s="126"/>
      <c r="CJ816" s="126"/>
      <c r="CK816" s="126"/>
    </row>
    <row r="817" spans="1:89" ht="9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  <c r="BD817" s="126"/>
      <c r="BE817" s="126"/>
      <c r="BF817" s="126"/>
      <c r="BG817" s="126"/>
      <c r="BH817" s="126"/>
      <c r="BI817" s="126"/>
      <c r="BJ817" s="126"/>
      <c r="BK817" s="126"/>
      <c r="BL817" s="126"/>
      <c r="BM817" s="126"/>
      <c r="BN817" s="126"/>
      <c r="BO817" s="126"/>
      <c r="BP817" s="126"/>
      <c r="BQ817" s="126"/>
      <c r="BR817" s="126"/>
      <c r="BS817" s="126"/>
      <c r="BT817" s="126"/>
      <c r="BU817" s="126"/>
      <c r="BV817" s="126"/>
      <c r="BW817" s="126"/>
      <c r="BX817" s="126"/>
      <c r="BY817" s="126"/>
      <c r="BZ817" s="126"/>
      <c r="CA817" s="126"/>
      <c r="CB817" s="126"/>
      <c r="CC817" s="126"/>
      <c r="CD817" s="126"/>
      <c r="CE817" s="126"/>
      <c r="CF817" s="126"/>
      <c r="CG817" s="126"/>
      <c r="CH817" s="126"/>
      <c r="CI817" s="126"/>
      <c r="CJ817" s="126"/>
      <c r="CK817" s="126"/>
    </row>
    <row r="818" spans="1:89" ht="9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  <c r="BD818" s="126"/>
      <c r="BE818" s="126"/>
      <c r="BF818" s="126"/>
      <c r="BG818" s="126"/>
      <c r="BH818" s="126"/>
      <c r="BI818" s="126"/>
      <c r="BJ818" s="126"/>
      <c r="BK818" s="126"/>
      <c r="BL818" s="126"/>
      <c r="BM818" s="126"/>
      <c r="BN818" s="126"/>
      <c r="BO818" s="126"/>
      <c r="BP818" s="126"/>
      <c r="BQ818" s="126"/>
      <c r="BR818" s="126"/>
      <c r="BS818" s="126"/>
      <c r="BT818" s="126"/>
      <c r="BU818" s="126"/>
      <c r="BV818" s="126"/>
      <c r="BW818" s="126"/>
      <c r="BX818" s="126"/>
      <c r="BY818" s="126"/>
      <c r="BZ818" s="126"/>
      <c r="CA818" s="126"/>
      <c r="CB818" s="126"/>
      <c r="CC818" s="126"/>
      <c r="CD818" s="126"/>
      <c r="CE818" s="126"/>
      <c r="CF818" s="126"/>
      <c r="CG818" s="126"/>
      <c r="CH818" s="126"/>
      <c r="CI818" s="126"/>
      <c r="CJ818" s="126"/>
      <c r="CK818" s="126"/>
    </row>
    <row r="819" spans="1:89" ht="9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  <c r="BD819" s="126"/>
      <c r="BE819" s="126"/>
      <c r="BF819" s="126"/>
      <c r="BG819" s="126"/>
      <c r="BH819" s="126"/>
      <c r="BI819" s="126"/>
      <c r="BJ819" s="126"/>
      <c r="BK819" s="126"/>
      <c r="BL819" s="126"/>
      <c r="BM819" s="126"/>
      <c r="BN819" s="126"/>
      <c r="BO819" s="126"/>
      <c r="BP819" s="126"/>
      <c r="BQ819" s="126"/>
      <c r="BR819" s="126"/>
      <c r="BS819" s="126"/>
      <c r="BT819" s="126"/>
      <c r="BU819" s="126"/>
      <c r="BV819" s="126"/>
      <c r="BW819" s="126"/>
      <c r="BX819" s="126"/>
      <c r="BY819" s="126"/>
      <c r="BZ819" s="126"/>
      <c r="CA819" s="126"/>
      <c r="CB819" s="126"/>
      <c r="CC819" s="126"/>
      <c r="CD819" s="126"/>
      <c r="CE819" s="126"/>
      <c r="CF819" s="126"/>
      <c r="CG819" s="126"/>
      <c r="CH819" s="126"/>
      <c r="CI819" s="126"/>
      <c r="CJ819" s="126"/>
      <c r="CK819" s="126"/>
    </row>
    <row r="820" spans="1:89" ht="9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  <c r="BD820" s="126"/>
      <c r="BE820" s="126"/>
      <c r="BF820" s="126"/>
      <c r="BG820" s="126"/>
      <c r="BH820" s="126"/>
      <c r="BI820" s="126"/>
      <c r="BJ820" s="126"/>
      <c r="BK820" s="126"/>
      <c r="BL820" s="126"/>
      <c r="BM820" s="126"/>
      <c r="BN820" s="126"/>
      <c r="BO820" s="126"/>
      <c r="BP820" s="126"/>
      <c r="BQ820" s="126"/>
      <c r="BR820" s="126"/>
      <c r="BS820" s="126"/>
      <c r="BT820" s="126"/>
      <c r="BU820" s="126"/>
      <c r="BV820" s="126"/>
      <c r="BW820" s="126"/>
      <c r="BX820" s="126"/>
      <c r="BY820" s="126"/>
      <c r="BZ820" s="126"/>
      <c r="CA820" s="126"/>
      <c r="CB820" s="126"/>
      <c r="CC820" s="126"/>
      <c r="CD820" s="126"/>
      <c r="CE820" s="126"/>
      <c r="CF820" s="126"/>
      <c r="CG820" s="126"/>
      <c r="CH820" s="126"/>
      <c r="CI820" s="126"/>
      <c r="CJ820" s="126"/>
      <c r="CK820" s="126"/>
    </row>
    <row r="821" spans="1:89" ht="9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  <c r="BD821" s="126"/>
      <c r="BE821" s="126"/>
      <c r="BF821" s="126"/>
      <c r="BG821" s="126"/>
      <c r="BH821" s="126"/>
      <c r="BI821" s="126"/>
      <c r="BJ821" s="126"/>
      <c r="BK821" s="126"/>
      <c r="BL821" s="126"/>
      <c r="BM821" s="126"/>
      <c r="BN821" s="126"/>
      <c r="BO821" s="126"/>
      <c r="BP821" s="126"/>
      <c r="BQ821" s="126"/>
      <c r="BR821" s="126"/>
      <c r="BS821" s="126"/>
      <c r="BT821" s="126"/>
      <c r="BU821" s="126"/>
      <c r="BV821" s="126"/>
      <c r="BW821" s="126"/>
      <c r="BX821" s="126"/>
      <c r="BY821" s="126"/>
      <c r="BZ821" s="126"/>
      <c r="CA821" s="126"/>
      <c r="CB821" s="126"/>
      <c r="CC821" s="126"/>
      <c r="CD821" s="126"/>
      <c r="CE821" s="126"/>
      <c r="CF821" s="126"/>
      <c r="CG821" s="126"/>
      <c r="CH821" s="126"/>
      <c r="CI821" s="126"/>
      <c r="CJ821" s="126"/>
      <c r="CK821" s="126"/>
    </row>
    <row r="822" spans="1:89" ht="9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  <c r="BD822" s="126"/>
      <c r="BE822" s="126"/>
      <c r="BF822" s="126"/>
      <c r="BG822" s="126"/>
      <c r="BH822" s="126"/>
      <c r="BI822" s="126"/>
      <c r="BJ822" s="126"/>
      <c r="BK822" s="126"/>
      <c r="BL822" s="126"/>
      <c r="BM822" s="126"/>
      <c r="BN822" s="126"/>
      <c r="BO822" s="126"/>
      <c r="BP822" s="126"/>
      <c r="BQ822" s="126"/>
      <c r="BR822" s="126"/>
      <c r="BS822" s="126"/>
      <c r="BT822" s="126"/>
      <c r="BU822" s="126"/>
      <c r="BV822" s="126"/>
      <c r="BW822" s="126"/>
      <c r="BX822" s="126"/>
      <c r="BY822" s="126"/>
      <c r="BZ822" s="126"/>
      <c r="CA822" s="126"/>
      <c r="CB822" s="126"/>
      <c r="CC822" s="126"/>
      <c r="CD822" s="126"/>
      <c r="CE822" s="126"/>
      <c r="CF822" s="126"/>
      <c r="CG822" s="126"/>
      <c r="CH822" s="126"/>
      <c r="CI822" s="126"/>
      <c r="CJ822" s="126"/>
      <c r="CK822" s="126"/>
    </row>
    <row r="823" spans="1:89" ht="9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  <c r="BD823" s="126"/>
      <c r="BE823" s="126"/>
      <c r="BF823" s="126"/>
      <c r="BG823" s="126"/>
      <c r="BH823" s="126"/>
      <c r="BI823" s="126"/>
      <c r="BJ823" s="126"/>
      <c r="BK823" s="126"/>
      <c r="BL823" s="126"/>
      <c r="BM823" s="126"/>
      <c r="BN823" s="126"/>
      <c r="BO823" s="126"/>
      <c r="BP823" s="126"/>
      <c r="BQ823" s="126"/>
      <c r="BR823" s="126"/>
      <c r="BS823" s="126"/>
      <c r="BT823" s="126"/>
      <c r="BU823" s="126"/>
      <c r="BV823" s="126"/>
      <c r="BW823" s="126"/>
      <c r="BX823" s="126"/>
      <c r="BY823" s="126"/>
      <c r="BZ823" s="126"/>
      <c r="CA823" s="126"/>
      <c r="CB823" s="126"/>
      <c r="CC823" s="126"/>
      <c r="CD823" s="126"/>
      <c r="CE823" s="126"/>
      <c r="CF823" s="126"/>
      <c r="CG823" s="126"/>
      <c r="CH823" s="126"/>
      <c r="CI823" s="126"/>
      <c r="CJ823" s="126"/>
      <c r="CK823" s="126"/>
    </row>
    <row r="824" spans="1:89" ht="9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  <c r="BD824" s="126"/>
      <c r="BE824" s="126"/>
      <c r="BF824" s="126"/>
      <c r="BG824" s="126"/>
      <c r="BH824" s="126"/>
      <c r="BI824" s="126"/>
      <c r="BJ824" s="126"/>
      <c r="BK824" s="126"/>
      <c r="BL824" s="126"/>
      <c r="BM824" s="126"/>
      <c r="BN824" s="126"/>
      <c r="BO824" s="126"/>
      <c r="BP824" s="126"/>
      <c r="BQ824" s="126"/>
      <c r="BR824" s="126"/>
      <c r="BS824" s="126"/>
      <c r="BT824" s="126"/>
      <c r="BU824" s="126"/>
      <c r="BV824" s="126"/>
      <c r="BW824" s="126"/>
      <c r="BX824" s="126"/>
      <c r="BY824" s="126"/>
      <c r="BZ824" s="126"/>
      <c r="CA824" s="126"/>
      <c r="CB824" s="126"/>
      <c r="CC824" s="126"/>
      <c r="CD824" s="126"/>
      <c r="CE824" s="126"/>
      <c r="CF824" s="126"/>
      <c r="CG824" s="126"/>
      <c r="CH824" s="126"/>
      <c r="CI824" s="126"/>
      <c r="CJ824" s="126"/>
      <c r="CK824" s="126"/>
    </row>
    <row r="825" spans="1:89" ht="9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  <c r="BD825" s="126"/>
      <c r="BE825" s="126"/>
      <c r="BF825" s="126"/>
      <c r="BG825" s="126"/>
      <c r="BH825" s="126"/>
      <c r="BI825" s="126"/>
      <c r="BJ825" s="126"/>
      <c r="BK825" s="126"/>
      <c r="BL825" s="126"/>
      <c r="BM825" s="126"/>
      <c r="BN825" s="126"/>
      <c r="BO825" s="126"/>
      <c r="BP825" s="126"/>
      <c r="BQ825" s="126"/>
      <c r="BR825" s="126"/>
      <c r="BS825" s="126"/>
      <c r="BT825" s="126"/>
      <c r="BU825" s="126"/>
      <c r="BV825" s="126"/>
      <c r="BW825" s="126"/>
      <c r="BX825" s="126"/>
      <c r="BY825" s="126"/>
      <c r="BZ825" s="126"/>
      <c r="CA825" s="126"/>
      <c r="CB825" s="126"/>
      <c r="CC825" s="126"/>
      <c r="CD825" s="126"/>
      <c r="CE825" s="126"/>
      <c r="CF825" s="126"/>
      <c r="CG825" s="126"/>
      <c r="CH825" s="126"/>
      <c r="CI825" s="126"/>
      <c r="CJ825" s="126"/>
      <c r="CK825" s="126"/>
    </row>
    <row r="826" spans="1:89" ht="9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  <c r="BD826" s="126"/>
      <c r="BE826" s="126"/>
      <c r="BF826" s="126"/>
      <c r="BG826" s="126"/>
      <c r="BH826" s="126"/>
      <c r="BI826" s="126"/>
      <c r="BJ826" s="126"/>
      <c r="BK826" s="126"/>
      <c r="BL826" s="126"/>
      <c r="BM826" s="126"/>
      <c r="BN826" s="126"/>
      <c r="BO826" s="126"/>
      <c r="BP826" s="126"/>
      <c r="BQ826" s="126"/>
      <c r="BR826" s="126"/>
      <c r="BS826" s="126"/>
      <c r="BT826" s="126"/>
      <c r="BU826" s="126"/>
      <c r="BV826" s="126"/>
      <c r="BW826" s="126"/>
      <c r="BX826" s="126"/>
      <c r="BY826" s="126"/>
      <c r="BZ826" s="126"/>
      <c r="CA826" s="126"/>
      <c r="CB826" s="126"/>
      <c r="CC826" s="126"/>
      <c r="CD826" s="126"/>
      <c r="CE826" s="126"/>
      <c r="CF826" s="126"/>
      <c r="CG826" s="126"/>
      <c r="CH826" s="126"/>
      <c r="CI826" s="126"/>
      <c r="CJ826" s="126"/>
      <c r="CK826" s="126"/>
    </row>
    <row r="827" spans="1:89" ht="9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  <c r="BD827" s="126"/>
      <c r="BE827" s="126"/>
      <c r="BF827" s="126"/>
      <c r="BG827" s="126"/>
      <c r="BH827" s="126"/>
      <c r="BI827" s="126"/>
      <c r="BJ827" s="126"/>
      <c r="BK827" s="126"/>
      <c r="BL827" s="126"/>
      <c r="BM827" s="126"/>
      <c r="BN827" s="126"/>
      <c r="BO827" s="126"/>
      <c r="BP827" s="126"/>
      <c r="BQ827" s="126"/>
      <c r="BR827" s="126"/>
      <c r="BS827" s="126"/>
      <c r="BT827" s="126"/>
      <c r="BU827" s="126"/>
      <c r="BV827" s="126"/>
      <c r="BW827" s="126"/>
      <c r="BX827" s="126"/>
      <c r="BY827" s="126"/>
      <c r="BZ827" s="126"/>
      <c r="CA827" s="126"/>
      <c r="CB827" s="126"/>
      <c r="CC827" s="126"/>
      <c r="CD827" s="126"/>
      <c r="CE827" s="126"/>
      <c r="CF827" s="126"/>
      <c r="CG827" s="126"/>
      <c r="CH827" s="126"/>
      <c r="CI827" s="126"/>
      <c r="CJ827" s="126"/>
      <c r="CK827" s="126"/>
    </row>
    <row r="828" spans="1:89" ht="9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  <c r="BD828" s="126"/>
      <c r="BE828" s="126"/>
      <c r="BF828" s="126"/>
      <c r="BG828" s="126"/>
      <c r="BH828" s="126"/>
      <c r="BI828" s="126"/>
      <c r="BJ828" s="126"/>
      <c r="BK828" s="126"/>
      <c r="BL828" s="126"/>
      <c r="BM828" s="126"/>
      <c r="BN828" s="126"/>
      <c r="BO828" s="126"/>
      <c r="BP828" s="126"/>
      <c r="BQ828" s="126"/>
      <c r="BR828" s="126"/>
      <c r="BS828" s="126"/>
      <c r="BT828" s="126"/>
      <c r="BU828" s="126"/>
      <c r="BV828" s="126"/>
      <c r="BW828" s="126"/>
      <c r="BX828" s="126"/>
      <c r="BY828" s="126"/>
      <c r="BZ828" s="126"/>
      <c r="CA828" s="126"/>
      <c r="CB828" s="126"/>
      <c r="CC828" s="126"/>
      <c r="CD828" s="126"/>
      <c r="CE828" s="126"/>
      <c r="CF828" s="126"/>
      <c r="CG828" s="126"/>
      <c r="CH828" s="126"/>
      <c r="CI828" s="126"/>
      <c r="CJ828" s="126"/>
      <c r="CK828" s="126"/>
    </row>
    <row r="829" spans="1:89" ht="9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  <c r="BD829" s="126"/>
      <c r="BE829" s="126"/>
      <c r="BF829" s="126"/>
      <c r="BG829" s="126"/>
      <c r="BH829" s="126"/>
      <c r="BI829" s="126"/>
      <c r="BJ829" s="126"/>
      <c r="BK829" s="126"/>
      <c r="BL829" s="126"/>
      <c r="BM829" s="126"/>
      <c r="BN829" s="126"/>
      <c r="BO829" s="126"/>
      <c r="BP829" s="126"/>
      <c r="BQ829" s="126"/>
      <c r="BR829" s="126"/>
      <c r="BS829" s="126"/>
      <c r="BT829" s="126"/>
      <c r="BU829" s="126"/>
      <c r="BV829" s="126"/>
      <c r="BW829" s="126"/>
      <c r="BX829" s="126"/>
      <c r="BY829" s="126"/>
      <c r="BZ829" s="126"/>
      <c r="CA829" s="126"/>
      <c r="CB829" s="126"/>
      <c r="CC829" s="126"/>
      <c r="CD829" s="126"/>
      <c r="CE829" s="126"/>
      <c r="CF829" s="126"/>
      <c r="CG829" s="126"/>
      <c r="CH829" s="126"/>
      <c r="CI829" s="126"/>
      <c r="CJ829" s="126"/>
      <c r="CK829" s="126"/>
    </row>
    <row r="830" spans="1:89" ht="9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  <c r="BD830" s="126"/>
      <c r="BE830" s="126"/>
      <c r="BF830" s="126"/>
      <c r="BG830" s="126"/>
      <c r="BH830" s="126"/>
      <c r="BI830" s="126"/>
      <c r="BJ830" s="126"/>
      <c r="BK830" s="126"/>
      <c r="BL830" s="126"/>
      <c r="BM830" s="126"/>
      <c r="BN830" s="126"/>
      <c r="BO830" s="126"/>
      <c r="BP830" s="126"/>
      <c r="BQ830" s="126"/>
      <c r="BR830" s="126"/>
      <c r="BS830" s="126"/>
      <c r="BT830" s="126"/>
      <c r="BU830" s="126"/>
      <c r="BV830" s="126"/>
      <c r="BW830" s="126"/>
      <c r="BX830" s="126"/>
      <c r="BY830" s="126"/>
      <c r="BZ830" s="126"/>
      <c r="CA830" s="126"/>
      <c r="CB830" s="126"/>
      <c r="CC830" s="126"/>
      <c r="CD830" s="126"/>
      <c r="CE830" s="126"/>
      <c r="CF830" s="126"/>
      <c r="CG830" s="126"/>
      <c r="CH830" s="126"/>
      <c r="CI830" s="126"/>
      <c r="CJ830" s="126"/>
      <c r="CK830" s="126"/>
    </row>
    <row r="831" spans="1:89" ht="9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  <c r="BD831" s="126"/>
      <c r="BE831" s="126"/>
      <c r="BF831" s="126"/>
      <c r="BG831" s="126"/>
      <c r="BH831" s="126"/>
      <c r="BI831" s="126"/>
      <c r="BJ831" s="126"/>
      <c r="BK831" s="126"/>
      <c r="BL831" s="126"/>
      <c r="BM831" s="126"/>
      <c r="BN831" s="126"/>
      <c r="BO831" s="126"/>
      <c r="BP831" s="126"/>
      <c r="BQ831" s="126"/>
      <c r="BR831" s="126"/>
      <c r="BS831" s="126"/>
      <c r="BT831" s="126"/>
      <c r="BU831" s="126"/>
      <c r="BV831" s="126"/>
      <c r="BW831" s="126"/>
      <c r="BX831" s="126"/>
      <c r="BY831" s="126"/>
      <c r="BZ831" s="126"/>
      <c r="CA831" s="126"/>
      <c r="CB831" s="126"/>
      <c r="CC831" s="126"/>
      <c r="CD831" s="126"/>
      <c r="CE831" s="126"/>
      <c r="CF831" s="126"/>
      <c r="CG831" s="126"/>
      <c r="CH831" s="126"/>
      <c r="CI831" s="126"/>
      <c r="CJ831" s="126"/>
      <c r="CK831" s="126"/>
    </row>
    <row r="832" spans="1:89" ht="9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  <c r="BD832" s="126"/>
      <c r="BE832" s="126"/>
      <c r="BF832" s="126"/>
      <c r="BG832" s="126"/>
      <c r="BH832" s="126"/>
      <c r="BI832" s="126"/>
      <c r="BJ832" s="126"/>
      <c r="BK832" s="126"/>
      <c r="BL832" s="126"/>
      <c r="BM832" s="126"/>
      <c r="BN832" s="126"/>
      <c r="BO832" s="126"/>
      <c r="BP832" s="126"/>
      <c r="BQ832" s="126"/>
      <c r="BR832" s="126"/>
      <c r="BS832" s="126"/>
      <c r="BT832" s="126"/>
      <c r="BU832" s="126"/>
      <c r="BV832" s="126"/>
      <c r="BW832" s="126"/>
      <c r="BX832" s="126"/>
      <c r="BY832" s="126"/>
      <c r="BZ832" s="126"/>
      <c r="CA832" s="126"/>
      <c r="CB832" s="126"/>
      <c r="CC832" s="126"/>
      <c r="CD832" s="126"/>
      <c r="CE832" s="126"/>
      <c r="CF832" s="126"/>
      <c r="CG832" s="126"/>
      <c r="CH832" s="126"/>
      <c r="CI832" s="126"/>
      <c r="CJ832" s="126"/>
      <c r="CK832" s="126"/>
    </row>
    <row r="833" spans="1:89" ht="9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126"/>
      <c r="BF833" s="126"/>
      <c r="BG833" s="126"/>
      <c r="BH833" s="126"/>
      <c r="BI833" s="126"/>
      <c r="BJ833" s="126"/>
      <c r="BK833" s="126"/>
      <c r="BL833" s="126"/>
      <c r="BM833" s="126"/>
      <c r="BN833" s="126"/>
      <c r="BO833" s="126"/>
      <c r="BP833" s="126"/>
      <c r="BQ833" s="126"/>
      <c r="BR833" s="126"/>
      <c r="BS833" s="126"/>
      <c r="BT833" s="126"/>
      <c r="BU833" s="126"/>
      <c r="BV833" s="126"/>
      <c r="BW833" s="126"/>
      <c r="BX833" s="126"/>
      <c r="BY833" s="126"/>
      <c r="BZ833" s="126"/>
      <c r="CA833" s="126"/>
      <c r="CB833" s="126"/>
      <c r="CC833" s="126"/>
      <c r="CD833" s="126"/>
      <c r="CE833" s="126"/>
      <c r="CF833" s="126"/>
      <c r="CG833" s="126"/>
      <c r="CH833" s="126"/>
      <c r="CI833" s="126"/>
      <c r="CJ833" s="126"/>
      <c r="CK833" s="126"/>
    </row>
    <row r="834" spans="1:89" ht="9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  <c r="BD834" s="126"/>
      <c r="BE834" s="126"/>
      <c r="BF834" s="126"/>
      <c r="BG834" s="126"/>
      <c r="BH834" s="126"/>
      <c r="BI834" s="126"/>
      <c r="BJ834" s="126"/>
      <c r="BK834" s="126"/>
      <c r="BL834" s="126"/>
      <c r="BM834" s="126"/>
      <c r="BN834" s="126"/>
      <c r="BO834" s="126"/>
      <c r="BP834" s="126"/>
      <c r="BQ834" s="126"/>
      <c r="BR834" s="126"/>
      <c r="BS834" s="126"/>
      <c r="BT834" s="126"/>
      <c r="BU834" s="126"/>
      <c r="BV834" s="126"/>
      <c r="BW834" s="126"/>
      <c r="BX834" s="126"/>
      <c r="BY834" s="126"/>
      <c r="BZ834" s="126"/>
      <c r="CA834" s="126"/>
      <c r="CB834" s="126"/>
      <c r="CC834" s="126"/>
      <c r="CD834" s="126"/>
      <c r="CE834" s="126"/>
      <c r="CF834" s="126"/>
      <c r="CG834" s="126"/>
      <c r="CH834" s="126"/>
      <c r="CI834" s="126"/>
      <c r="CJ834" s="126"/>
      <c r="CK834" s="126"/>
    </row>
    <row r="835" spans="1:89" ht="9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126"/>
      <c r="BF835" s="126"/>
      <c r="BG835" s="126"/>
      <c r="BH835" s="126"/>
      <c r="BI835" s="126"/>
      <c r="BJ835" s="126"/>
      <c r="BK835" s="126"/>
      <c r="BL835" s="126"/>
      <c r="BM835" s="126"/>
      <c r="BN835" s="126"/>
      <c r="BO835" s="126"/>
      <c r="BP835" s="126"/>
      <c r="BQ835" s="126"/>
      <c r="BR835" s="126"/>
      <c r="BS835" s="126"/>
      <c r="BT835" s="126"/>
      <c r="BU835" s="126"/>
      <c r="BV835" s="126"/>
      <c r="BW835" s="126"/>
      <c r="BX835" s="126"/>
      <c r="BY835" s="126"/>
      <c r="BZ835" s="126"/>
      <c r="CA835" s="126"/>
      <c r="CB835" s="126"/>
      <c r="CC835" s="126"/>
      <c r="CD835" s="126"/>
      <c r="CE835" s="126"/>
      <c r="CF835" s="126"/>
      <c r="CG835" s="126"/>
      <c r="CH835" s="126"/>
      <c r="CI835" s="126"/>
      <c r="CJ835" s="126"/>
      <c r="CK835" s="126"/>
    </row>
    <row r="836" spans="1:89" ht="9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  <c r="BD836" s="126"/>
      <c r="BE836" s="126"/>
      <c r="BF836" s="126"/>
      <c r="BG836" s="126"/>
      <c r="BH836" s="126"/>
      <c r="BI836" s="126"/>
      <c r="BJ836" s="126"/>
      <c r="BK836" s="126"/>
      <c r="BL836" s="126"/>
      <c r="BM836" s="126"/>
      <c r="BN836" s="126"/>
      <c r="BO836" s="126"/>
      <c r="BP836" s="126"/>
      <c r="BQ836" s="126"/>
      <c r="BR836" s="126"/>
      <c r="BS836" s="126"/>
      <c r="BT836" s="126"/>
      <c r="BU836" s="126"/>
      <c r="BV836" s="126"/>
      <c r="BW836" s="126"/>
      <c r="BX836" s="126"/>
      <c r="BY836" s="126"/>
      <c r="BZ836" s="126"/>
      <c r="CA836" s="126"/>
      <c r="CB836" s="126"/>
      <c r="CC836" s="126"/>
      <c r="CD836" s="126"/>
      <c r="CE836" s="126"/>
      <c r="CF836" s="126"/>
      <c r="CG836" s="126"/>
      <c r="CH836" s="126"/>
      <c r="CI836" s="126"/>
      <c r="CJ836" s="126"/>
      <c r="CK836" s="126"/>
    </row>
    <row r="837" spans="1:89" ht="9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  <c r="BD837" s="126"/>
      <c r="BE837" s="126"/>
      <c r="BF837" s="126"/>
      <c r="BG837" s="126"/>
      <c r="BH837" s="126"/>
      <c r="BI837" s="126"/>
      <c r="BJ837" s="126"/>
      <c r="BK837" s="126"/>
      <c r="BL837" s="126"/>
      <c r="BM837" s="126"/>
      <c r="BN837" s="126"/>
      <c r="BO837" s="126"/>
      <c r="BP837" s="126"/>
      <c r="BQ837" s="126"/>
      <c r="BR837" s="126"/>
      <c r="BS837" s="126"/>
      <c r="BT837" s="126"/>
      <c r="BU837" s="126"/>
      <c r="BV837" s="126"/>
      <c r="BW837" s="126"/>
      <c r="BX837" s="126"/>
      <c r="BY837" s="126"/>
      <c r="BZ837" s="126"/>
      <c r="CA837" s="126"/>
      <c r="CB837" s="126"/>
      <c r="CC837" s="126"/>
      <c r="CD837" s="126"/>
      <c r="CE837" s="126"/>
      <c r="CF837" s="126"/>
      <c r="CG837" s="126"/>
      <c r="CH837" s="126"/>
      <c r="CI837" s="126"/>
      <c r="CJ837" s="126"/>
      <c r="CK837" s="126"/>
    </row>
    <row r="838" spans="1:89" ht="9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  <c r="BD838" s="126"/>
      <c r="BE838" s="126"/>
      <c r="BF838" s="126"/>
      <c r="BG838" s="126"/>
      <c r="BH838" s="126"/>
      <c r="BI838" s="126"/>
      <c r="BJ838" s="126"/>
      <c r="BK838" s="126"/>
      <c r="BL838" s="126"/>
      <c r="BM838" s="126"/>
      <c r="BN838" s="126"/>
      <c r="BO838" s="126"/>
      <c r="BP838" s="126"/>
      <c r="BQ838" s="126"/>
      <c r="BR838" s="126"/>
      <c r="BS838" s="126"/>
      <c r="BT838" s="126"/>
      <c r="BU838" s="126"/>
      <c r="BV838" s="126"/>
      <c r="BW838" s="126"/>
      <c r="BX838" s="126"/>
      <c r="BY838" s="126"/>
      <c r="BZ838" s="126"/>
      <c r="CA838" s="126"/>
      <c r="CB838" s="126"/>
      <c r="CC838" s="126"/>
      <c r="CD838" s="126"/>
      <c r="CE838" s="126"/>
      <c r="CF838" s="126"/>
      <c r="CG838" s="126"/>
      <c r="CH838" s="126"/>
      <c r="CI838" s="126"/>
      <c r="CJ838" s="126"/>
      <c r="CK838" s="126"/>
    </row>
    <row r="839" spans="1:89" ht="9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  <c r="BD839" s="126"/>
      <c r="BE839" s="126"/>
      <c r="BF839" s="126"/>
      <c r="BG839" s="126"/>
      <c r="BH839" s="126"/>
      <c r="BI839" s="126"/>
      <c r="BJ839" s="126"/>
      <c r="BK839" s="126"/>
      <c r="BL839" s="126"/>
      <c r="BM839" s="126"/>
      <c r="BN839" s="126"/>
      <c r="BO839" s="126"/>
      <c r="BP839" s="126"/>
      <c r="BQ839" s="126"/>
      <c r="BR839" s="126"/>
      <c r="BS839" s="126"/>
      <c r="BT839" s="126"/>
      <c r="BU839" s="126"/>
      <c r="BV839" s="126"/>
      <c r="BW839" s="126"/>
      <c r="BX839" s="126"/>
      <c r="BY839" s="126"/>
      <c r="BZ839" s="126"/>
      <c r="CA839" s="126"/>
      <c r="CB839" s="126"/>
      <c r="CC839" s="126"/>
      <c r="CD839" s="126"/>
      <c r="CE839" s="126"/>
      <c r="CF839" s="126"/>
      <c r="CG839" s="126"/>
      <c r="CH839" s="126"/>
      <c r="CI839" s="126"/>
      <c r="CJ839" s="126"/>
      <c r="CK839" s="126"/>
    </row>
    <row r="840" spans="1:89" ht="9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  <c r="BD840" s="126"/>
      <c r="BE840" s="126"/>
      <c r="BF840" s="126"/>
      <c r="BG840" s="126"/>
      <c r="BH840" s="126"/>
      <c r="BI840" s="126"/>
      <c r="BJ840" s="126"/>
      <c r="BK840" s="126"/>
      <c r="BL840" s="126"/>
      <c r="BM840" s="126"/>
      <c r="BN840" s="126"/>
      <c r="BO840" s="126"/>
      <c r="BP840" s="126"/>
      <c r="BQ840" s="126"/>
      <c r="BR840" s="126"/>
      <c r="BS840" s="126"/>
      <c r="BT840" s="126"/>
      <c r="BU840" s="126"/>
      <c r="BV840" s="126"/>
      <c r="BW840" s="126"/>
      <c r="BX840" s="126"/>
      <c r="BY840" s="126"/>
      <c r="BZ840" s="126"/>
      <c r="CA840" s="126"/>
      <c r="CB840" s="126"/>
      <c r="CC840" s="126"/>
      <c r="CD840" s="126"/>
      <c r="CE840" s="126"/>
      <c r="CF840" s="126"/>
      <c r="CG840" s="126"/>
      <c r="CH840" s="126"/>
      <c r="CI840" s="126"/>
      <c r="CJ840" s="126"/>
      <c r="CK840" s="126"/>
    </row>
    <row r="841" spans="1:89" ht="9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  <c r="BD841" s="126"/>
      <c r="BE841" s="126"/>
      <c r="BF841" s="126"/>
      <c r="BG841" s="126"/>
      <c r="BH841" s="126"/>
      <c r="BI841" s="126"/>
      <c r="BJ841" s="126"/>
      <c r="BK841" s="126"/>
      <c r="BL841" s="126"/>
      <c r="BM841" s="126"/>
      <c r="BN841" s="126"/>
      <c r="BO841" s="126"/>
      <c r="BP841" s="126"/>
      <c r="BQ841" s="126"/>
      <c r="BR841" s="126"/>
      <c r="BS841" s="126"/>
      <c r="BT841" s="126"/>
      <c r="BU841" s="126"/>
      <c r="BV841" s="126"/>
      <c r="BW841" s="126"/>
      <c r="BX841" s="126"/>
      <c r="BY841" s="126"/>
      <c r="BZ841" s="126"/>
      <c r="CA841" s="126"/>
      <c r="CB841" s="126"/>
      <c r="CC841" s="126"/>
      <c r="CD841" s="126"/>
      <c r="CE841" s="126"/>
      <c r="CF841" s="126"/>
      <c r="CG841" s="126"/>
      <c r="CH841" s="126"/>
      <c r="CI841" s="126"/>
      <c r="CJ841" s="126"/>
      <c r="CK841" s="126"/>
    </row>
    <row r="842" spans="1:89" ht="9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  <c r="BD842" s="126"/>
      <c r="BE842" s="126"/>
      <c r="BF842" s="126"/>
      <c r="BG842" s="126"/>
      <c r="BH842" s="126"/>
      <c r="BI842" s="126"/>
      <c r="BJ842" s="126"/>
      <c r="BK842" s="126"/>
      <c r="BL842" s="126"/>
      <c r="BM842" s="126"/>
      <c r="BN842" s="126"/>
      <c r="BO842" s="126"/>
      <c r="BP842" s="126"/>
      <c r="BQ842" s="126"/>
      <c r="BR842" s="126"/>
      <c r="BS842" s="126"/>
      <c r="BT842" s="126"/>
      <c r="BU842" s="126"/>
      <c r="BV842" s="126"/>
      <c r="BW842" s="126"/>
      <c r="BX842" s="126"/>
      <c r="BY842" s="126"/>
      <c r="BZ842" s="126"/>
      <c r="CA842" s="126"/>
      <c r="CB842" s="126"/>
      <c r="CC842" s="126"/>
      <c r="CD842" s="126"/>
      <c r="CE842" s="126"/>
      <c r="CF842" s="126"/>
      <c r="CG842" s="126"/>
      <c r="CH842" s="126"/>
      <c r="CI842" s="126"/>
      <c r="CJ842" s="126"/>
      <c r="CK842" s="126"/>
    </row>
    <row r="843" spans="1:89" ht="9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  <c r="BD843" s="126"/>
      <c r="BE843" s="126"/>
      <c r="BF843" s="126"/>
      <c r="BG843" s="126"/>
      <c r="BH843" s="126"/>
      <c r="BI843" s="126"/>
      <c r="BJ843" s="126"/>
      <c r="BK843" s="126"/>
      <c r="BL843" s="126"/>
      <c r="BM843" s="126"/>
      <c r="BN843" s="126"/>
      <c r="BO843" s="126"/>
      <c r="BP843" s="126"/>
      <c r="BQ843" s="126"/>
      <c r="BR843" s="126"/>
      <c r="BS843" s="126"/>
      <c r="BT843" s="126"/>
      <c r="BU843" s="126"/>
      <c r="BV843" s="126"/>
      <c r="BW843" s="126"/>
      <c r="BX843" s="126"/>
      <c r="BY843" s="126"/>
      <c r="BZ843" s="126"/>
      <c r="CA843" s="126"/>
      <c r="CB843" s="126"/>
      <c r="CC843" s="126"/>
      <c r="CD843" s="126"/>
      <c r="CE843" s="126"/>
      <c r="CF843" s="126"/>
      <c r="CG843" s="126"/>
      <c r="CH843" s="126"/>
      <c r="CI843" s="126"/>
      <c r="CJ843" s="126"/>
      <c r="CK843" s="126"/>
    </row>
    <row r="844" spans="1:89" ht="9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  <c r="BD844" s="126"/>
      <c r="BE844" s="126"/>
      <c r="BF844" s="126"/>
      <c r="BG844" s="126"/>
      <c r="BH844" s="126"/>
      <c r="BI844" s="126"/>
      <c r="BJ844" s="126"/>
      <c r="BK844" s="126"/>
      <c r="BL844" s="126"/>
      <c r="BM844" s="126"/>
      <c r="BN844" s="126"/>
      <c r="BO844" s="126"/>
      <c r="BP844" s="126"/>
      <c r="BQ844" s="126"/>
      <c r="BR844" s="126"/>
      <c r="BS844" s="126"/>
      <c r="BT844" s="126"/>
      <c r="BU844" s="126"/>
      <c r="BV844" s="126"/>
      <c r="BW844" s="126"/>
      <c r="BX844" s="126"/>
      <c r="BY844" s="126"/>
      <c r="BZ844" s="126"/>
      <c r="CA844" s="126"/>
      <c r="CB844" s="126"/>
      <c r="CC844" s="126"/>
      <c r="CD844" s="126"/>
      <c r="CE844" s="126"/>
      <c r="CF844" s="126"/>
      <c r="CG844" s="126"/>
      <c r="CH844" s="126"/>
      <c r="CI844" s="126"/>
      <c r="CJ844" s="126"/>
      <c r="CK844" s="126"/>
    </row>
    <row r="845" spans="1:89" ht="9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  <c r="BD845" s="126"/>
      <c r="BE845" s="126"/>
      <c r="BF845" s="126"/>
      <c r="BG845" s="126"/>
      <c r="BH845" s="126"/>
      <c r="BI845" s="126"/>
      <c r="BJ845" s="126"/>
      <c r="BK845" s="126"/>
      <c r="BL845" s="126"/>
      <c r="BM845" s="126"/>
      <c r="BN845" s="126"/>
      <c r="BO845" s="126"/>
      <c r="BP845" s="126"/>
      <c r="BQ845" s="126"/>
      <c r="BR845" s="126"/>
      <c r="BS845" s="126"/>
      <c r="BT845" s="126"/>
      <c r="BU845" s="126"/>
      <c r="BV845" s="126"/>
      <c r="BW845" s="126"/>
      <c r="BX845" s="126"/>
      <c r="BY845" s="126"/>
      <c r="BZ845" s="126"/>
      <c r="CA845" s="126"/>
      <c r="CB845" s="126"/>
      <c r="CC845" s="126"/>
      <c r="CD845" s="126"/>
      <c r="CE845" s="126"/>
      <c r="CF845" s="126"/>
      <c r="CG845" s="126"/>
      <c r="CH845" s="126"/>
      <c r="CI845" s="126"/>
      <c r="CJ845" s="126"/>
      <c r="CK845" s="126"/>
    </row>
    <row r="846" spans="1:89" ht="9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  <c r="BD846" s="126"/>
      <c r="BE846" s="126"/>
      <c r="BF846" s="126"/>
      <c r="BG846" s="126"/>
      <c r="BH846" s="126"/>
      <c r="BI846" s="126"/>
      <c r="BJ846" s="126"/>
      <c r="BK846" s="126"/>
      <c r="BL846" s="126"/>
      <c r="BM846" s="126"/>
      <c r="BN846" s="126"/>
      <c r="BO846" s="126"/>
      <c r="BP846" s="126"/>
      <c r="BQ846" s="126"/>
      <c r="BR846" s="126"/>
      <c r="BS846" s="126"/>
      <c r="BT846" s="126"/>
      <c r="BU846" s="126"/>
      <c r="BV846" s="126"/>
      <c r="BW846" s="126"/>
      <c r="BX846" s="126"/>
      <c r="BY846" s="126"/>
      <c r="BZ846" s="126"/>
      <c r="CA846" s="126"/>
      <c r="CB846" s="126"/>
      <c r="CC846" s="126"/>
      <c r="CD846" s="126"/>
      <c r="CE846" s="126"/>
      <c r="CF846" s="126"/>
      <c r="CG846" s="126"/>
      <c r="CH846" s="126"/>
      <c r="CI846" s="126"/>
      <c r="CJ846" s="126"/>
      <c r="CK846" s="126"/>
    </row>
    <row r="847" spans="1:89" ht="9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  <c r="BD847" s="126"/>
      <c r="BE847" s="126"/>
      <c r="BF847" s="126"/>
      <c r="BG847" s="126"/>
      <c r="BH847" s="126"/>
      <c r="BI847" s="126"/>
      <c r="BJ847" s="126"/>
      <c r="BK847" s="126"/>
      <c r="BL847" s="126"/>
      <c r="BM847" s="126"/>
      <c r="BN847" s="126"/>
      <c r="BO847" s="126"/>
      <c r="BP847" s="126"/>
      <c r="BQ847" s="126"/>
      <c r="BR847" s="126"/>
      <c r="BS847" s="126"/>
      <c r="BT847" s="126"/>
      <c r="BU847" s="126"/>
      <c r="BV847" s="126"/>
      <c r="BW847" s="126"/>
      <c r="BX847" s="126"/>
      <c r="BY847" s="126"/>
      <c r="BZ847" s="126"/>
      <c r="CA847" s="126"/>
      <c r="CB847" s="126"/>
      <c r="CC847" s="126"/>
      <c r="CD847" s="126"/>
      <c r="CE847" s="126"/>
      <c r="CF847" s="126"/>
      <c r="CG847" s="126"/>
      <c r="CH847" s="126"/>
      <c r="CI847" s="126"/>
      <c r="CJ847" s="126"/>
      <c r="CK847" s="126"/>
    </row>
    <row r="848" spans="1:89" ht="9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  <c r="BD848" s="126"/>
      <c r="BE848" s="126"/>
      <c r="BF848" s="126"/>
      <c r="BG848" s="126"/>
      <c r="BH848" s="126"/>
      <c r="BI848" s="126"/>
      <c r="BJ848" s="126"/>
      <c r="BK848" s="126"/>
      <c r="BL848" s="126"/>
      <c r="BM848" s="126"/>
      <c r="BN848" s="126"/>
      <c r="BO848" s="126"/>
      <c r="BP848" s="126"/>
      <c r="BQ848" s="126"/>
      <c r="BR848" s="126"/>
      <c r="BS848" s="126"/>
      <c r="BT848" s="126"/>
      <c r="BU848" s="126"/>
      <c r="BV848" s="126"/>
      <c r="BW848" s="126"/>
      <c r="BX848" s="126"/>
      <c r="BY848" s="126"/>
      <c r="BZ848" s="126"/>
      <c r="CA848" s="126"/>
      <c r="CB848" s="126"/>
      <c r="CC848" s="126"/>
      <c r="CD848" s="126"/>
      <c r="CE848" s="126"/>
      <c r="CF848" s="126"/>
      <c r="CG848" s="126"/>
      <c r="CH848" s="126"/>
      <c r="CI848" s="126"/>
      <c r="CJ848" s="126"/>
      <c r="CK848" s="126"/>
    </row>
    <row r="849" spans="1:89" ht="9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  <c r="BD849" s="126"/>
      <c r="BE849" s="126"/>
      <c r="BF849" s="126"/>
      <c r="BG849" s="126"/>
      <c r="BH849" s="126"/>
      <c r="BI849" s="126"/>
      <c r="BJ849" s="126"/>
      <c r="BK849" s="126"/>
      <c r="BL849" s="126"/>
      <c r="BM849" s="126"/>
      <c r="BN849" s="126"/>
      <c r="BO849" s="126"/>
      <c r="BP849" s="126"/>
      <c r="BQ849" s="126"/>
      <c r="BR849" s="126"/>
      <c r="BS849" s="126"/>
      <c r="BT849" s="126"/>
      <c r="BU849" s="126"/>
      <c r="BV849" s="126"/>
      <c r="BW849" s="126"/>
      <c r="BX849" s="126"/>
      <c r="BY849" s="126"/>
      <c r="BZ849" s="126"/>
      <c r="CA849" s="126"/>
      <c r="CB849" s="126"/>
      <c r="CC849" s="126"/>
      <c r="CD849" s="126"/>
      <c r="CE849" s="126"/>
      <c r="CF849" s="126"/>
      <c r="CG849" s="126"/>
      <c r="CH849" s="126"/>
      <c r="CI849" s="126"/>
      <c r="CJ849" s="126"/>
      <c r="CK849" s="126"/>
    </row>
    <row r="850" spans="1:89" ht="9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  <c r="BD850" s="126"/>
      <c r="BE850" s="126"/>
      <c r="BF850" s="126"/>
      <c r="BG850" s="126"/>
      <c r="BH850" s="126"/>
      <c r="BI850" s="126"/>
      <c r="BJ850" s="126"/>
      <c r="BK850" s="126"/>
      <c r="BL850" s="126"/>
      <c r="BM850" s="126"/>
      <c r="BN850" s="126"/>
      <c r="BO850" s="126"/>
      <c r="BP850" s="126"/>
      <c r="BQ850" s="126"/>
      <c r="BR850" s="126"/>
      <c r="BS850" s="126"/>
      <c r="BT850" s="126"/>
      <c r="BU850" s="126"/>
      <c r="BV850" s="126"/>
      <c r="BW850" s="126"/>
      <c r="BX850" s="126"/>
      <c r="BY850" s="126"/>
      <c r="BZ850" s="126"/>
      <c r="CA850" s="126"/>
      <c r="CB850" s="126"/>
      <c r="CC850" s="126"/>
      <c r="CD850" s="126"/>
      <c r="CE850" s="126"/>
      <c r="CF850" s="126"/>
      <c r="CG850" s="126"/>
      <c r="CH850" s="126"/>
      <c r="CI850" s="126"/>
      <c r="CJ850" s="126"/>
      <c r="CK850" s="126"/>
    </row>
    <row r="851" spans="1:89" ht="9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  <c r="BD851" s="126"/>
      <c r="BE851" s="126"/>
      <c r="BF851" s="126"/>
      <c r="BG851" s="126"/>
      <c r="BH851" s="126"/>
      <c r="BI851" s="126"/>
      <c r="BJ851" s="126"/>
      <c r="BK851" s="126"/>
      <c r="BL851" s="126"/>
      <c r="BM851" s="126"/>
      <c r="BN851" s="126"/>
      <c r="BO851" s="126"/>
      <c r="BP851" s="126"/>
      <c r="BQ851" s="126"/>
      <c r="BR851" s="126"/>
      <c r="BS851" s="126"/>
      <c r="BT851" s="126"/>
      <c r="BU851" s="126"/>
      <c r="BV851" s="126"/>
      <c r="BW851" s="126"/>
      <c r="BX851" s="126"/>
      <c r="BY851" s="126"/>
      <c r="BZ851" s="126"/>
      <c r="CA851" s="126"/>
      <c r="CB851" s="126"/>
      <c r="CC851" s="126"/>
      <c r="CD851" s="126"/>
      <c r="CE851" s="126"/>
      <c r="CF851" s="126"/>
      <c r="CG851" s="126"/>
      <c r="CH851" s="126"/>
      <c r="CI851" s="126"/>
      <c r="CJ851" s="126"/>
      <c r="CK851" s="126"/>
    </row>
    <row r="852" spans="1:89" ht="9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  <c r="BD852" s="126"/>
      <c r="BE852" s="126"/>
      <c r="BF852" s="126"/>
      <c r="BG852" s="126"/>
      <c r="BH852" s="126"/>
      <c r="BI852" s="126"/>
      <c r="BJ852" s="126"/>
      <c r="BK852" s="126"/>
      <c r="BL852" s="126"/>
      <c r="BM852" s="126"/>
      <c r="BN852" s="126"/>
      <c r="BO852" s="126"/>
      <c r="BP852" s="126"/>
      <c r="BQ852" s="126"/>
      <c r="BR852" s="126"/>
      <c r="BS852" s="126"/>
      <c r="BT852" s="126"/>
      <c r="BU852" s="126"/>
      <c r="BV852" s="126"/>
      <c r="BW852" s="126"/>
      <c r="BX852" s="126"/>
      <c r="BY852" s="126"/>
      <c r="BZ852" s="126"/>
      <c r="CA852" s="126"/>
      <c r="CB852" s="126"/>
      <c r="CC852" s="126"/>
      <c r="CD852" s="126"/>
      <c r="CE852" s="126"/>
      <c r="CF852" s="126"/>
      <c r="CG852" s="126"/>
      <c r="CH852" s="126"/>
      <c r="CI852" s="126"/>
      <c r="CJ852" s="126"/>
      <c r="CK852" s="126"/>
    </row>
    <row r="853" spans="1:89" ht="9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  <c r="BD853" s="126"/>
      <c r="BE853" s="126"/>
      <c r="BF853" s="126"/>
      <c r="BG853" s="126"/>
      <c r="BH853" s="126"/>
      <c r="BI853" s="126"/>
      <c r="BJ853" s="126"/>
      <c r="BK853" s="126"/>
      <c r="BL853" s="126"/>
      <c r="BM853" s="126"/>
      <c r="BN853" s="126"/>
      <c r="BO853" s="126"/>
      <c r="BP853" s="126"/>
      <c r="BQ853" s="126"/>
      <c r="BR853" s="126"/>
      <c r="BS853" s="126"/>
      <c r="BT853" s="126"/>
      <c r="BU853" s="126"/>
      <c r="BV853" s="126"/>
      <c r="BW853" s="126"/>
      <c r="BX853" s="126"/>
      <c r="BY853" s="126"/>
      <c r="BZ853" s="126"/>
      <c r="CA853" s="126"/>
      <c r="CB853" s="126"/>
      <c r="CC853" s="126"/>
      <c r="CD853" s="126"/>
      <c r="CE853" s="126"/>
      <c r="CF853" s="126"/>
      <c r="CG853" s="126"/>
      <c r="CH853" s="126"/>
      <c r="CI853" s="126"/>
      <c r="CJ853" s="126"/>
      <c r="CK853" s="126"/>
    </row>
    <row r="854" spans="1:89" ht="9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  <c r="BD854" s="126"/>
      <c r="BE854" s="126"/>
      <c r="BF854" s="126"/>
      <c r="BG854" s="126"/>
      <c r="BH854" s="126"/>
      <c r="BI854" s="126"/>
      <c r="BJ854" s="126"/>
      <c r="BK854" s="126"/>
      <c r="BL854" s="126"/>
      <c r="BM854" s="126"/>
      <c r="BN854" s="126"/>
      <c r="BO854" s="126"/>
      <c r="BP854" s="126"/>
      <c r="BQ854" s="126"/>
      <c r="BR854" s="126"/>
      <c r="BS854" s="126"/>
      <c r="BT854" s="126"/>
      <c r="BU854" s="126"/>
      <c r="BV854" s="126"/>
      <c r="BW854" s="126"/>
      <c r="BX854" s="126"/>
      <c r="BY854" s="126"/>
      <c r="BZ854" s="126"/>
      <c r="CA854" s="126"/>
      <c r="CB854" s="126"/>
      <c r="CC854" s="126"/>
      <c r="CD854" s="126"/>
      <c r="CE854" s="126"/>
      <c r="CF854" s="126"/>
      <c r="CG854" s="126"/>
      <c r="CH854" s="126"/>
      <c r="CI854" s="126"/>
      <c r="CJ854" s="126"/>
      <c r="CK854" s="126"/>
    </row>
    <row r="855" spans="1:89" ht="9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  <c r="BD855" s="126"/>
      <c r="BE855" s="126"/>
      <c r="BF855" s="126"/>
      <c r="BG855" s="126"/>
      <c r="BH855" s="126"/>
      <c r="BI855" s="126"/>
      <c r="BJ855" s="126"/>
      <c r="BK855" s="126"/>
      <c r="BL855" s="126"/>
      <c r="BM855" s="126"/>
      <c r="BN855" s="126"/>
      <c r="BO855" s="126"/>
      <c r="BP855" s="126"/>
      <c r="BQ855" s="126"/>
      <c r="BR855" s="126"/>
      <c r="BS855" s="126"/>
      <c r="BT855" s="126"/>
      <c r="BU855" s="126"/>
      <c r="BV855" s="126"/>
      <c r="BW855" s="126"/>
      <c r="BX855" s="126"/>
      <c r="BY855" s="126"/>
      <c r="BZ855" s="126"/>
      <c r="CA855" s="126"/>
      <c r="CB855" s="126"/>
      <c r="CC855" s="126"/>
      <c r="CD855" s="126"/>
      <c r="CE855" s="126"/>
      <c r="CF855" s="126"/>
      <c r="CG855" s="126"/>
      <c r="CH855" s="126"/>
      <c r="CI855" s="126"/>
      <c r="CJ855" s="126"/>
      <c r="CK855" s="126"/>
    </row>
    <row r="856" spans="1:89" ht="9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  <c r="BD856" s="126"/>
      <c r="BE856" s="126"/>
      <c r="BF856" s="126"/>
      <c r="BG856" s="126"/>
      <c r="BH856" s="126"/>
      <c r="BI856" s="126"/>
      <c r="BJ856" s="126"/>
      <c r="BK856" s="126"/>
      <c r="BL856" s="126"/>
      <c r="BM856" s="126"/>
      <c r="BN856" s="126"/>
      <c r="BO856" s="126"/>
      <c r="BP856" s="126"/>
      <c r="BQ856" s="126"/>
      <c r="BR856" s="126"/>
      <c r="BS856" s="126"/>
      <c r="BT856" s="126"/>
      <c r="BU856" s="126"/>
      <c r="BV856" s="126"/>
      <c r="BW856" s="126"/>
      <c r="BX856" s="126"/>
      <c r="BY856" s="126"/>
      <c r="BZ856" s="126"/>
      <c r="CA856" s="126"/>
      <c r="CB856" s="126"/>
      <c r="CC856" s="126"/>
      <c r="CD856" s="126"/>
      <c r="CE856" s="126"/>
      <c r="CF856" s="126"/>
      <c r="CG856" s="126"/>
      <c r="CH856" s="126"/>
      <c r="CI856" s="126"/>
      <c r="CJ856" s="126"/>
      <c r="CK856" s="126"/>
    </row>
    <row r="857" spans="1:89" ht="9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  <c r="BD857" s="126"/>
      <c r="BE857" s="126"/>
      <c r="BF857" s="126"/>
      <c r="BG857" s="126"/>
      <c r="BH857" s="126"/>
      <c r="BI857" s="126"/>
      <c r="BJ857" s="126"/>
      <c r="BK857" s="126"/>
      <c r="BL857" s="126"/>
      <c r="BM857" s="126"/>
      <c r="BN857" s="126"/>
      <c r="BO857" s="126"/>
      <c r="BP857" s="126"/>
      <c r="BQ857" s="126"/>
      <c r="BR857" s="126"/>
      <c r="BS857" s="126"/>
      <c r="BT857" s="126"/>
      <c r="BU857" s="126"/>
      <c r="BV857" s="126"/>
      <c r="BW857" s="126"/>
      <c r="BX857" s="126"/>
      <c r="BY857" s="126"/>
      <c r="BZ857" s="126"/>
      <c r="CA857" s="126"/>
      <c r="CB857" s="126"/>
      <c r="CC857" s="126"/>
      <c r="CD857" s="126"/>
      <c r="CE857" s="126"/>
      <c r="CF857" s="126"/>
      <c r="CG857" s="126"/>
      <c r="CH857" s="126"/>
      <c r="CI857" s="126"/>
      <c r="CJ857" s="126"/>
      <c r="CK857" s="126"/>
    </row>
    <row r="858" spans="1:89" ht="9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  <c r="BD858" s="126"/>
      <c r="BE858" s="126"/>
      <c r="BF858" s="126"/>
      <c r="BG858" s="126"/>
      <c r="BH858" s="126"/>
      <c r="BI858" s="126"/>
      <c r="BJ858" s="126"/>
      <c r="BK858" s="126"/>
      <c r="BL858" s="126"/>
      <c r="BM858" s="126"/>
      <c r="BN858" s="126"/>
      <c r="BO858" s="126"/>
      <c r="BP858" s="126"/>
      <c r="BQ858" s="126"/>
      <c r="BR858" s="126"/>
      <c r="BS858" s="126"/>
      <c r="BT858" s="126"/>
      <c r="BU858" s="126"/>
      <c r="BV858" s="126"/>
      <c r="BW858" s="126"/>
      <c r="BX858" s="126"/>
      <c r="BY858" s="126"/>
      <c r="BZ858" s="126"/>
      <c r="CA858" s="126"/>
      <c r="CB858" s="126"/>
      <c r="CC858" s="126"/>
      <c r="CD858" s="126"/>
      <c r="CE858" s="126"/>
      <c r="CF858" s="126"/>
      <c r="CG858" s="126"/>
      <c r="CH858" s="126"/>
      <c r="CI858" s="126"/>
      <c r="CJ858" s="126"/>
      <c r="CK858" s="126"/>
    </row>
    <row r="859" spans="1:89" ht="9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  <c r="BD859" s="126"/>
      <c r="BE859" s="126"/>
      <c r="BF859" s="126"/>
      <c r="BG859" s="126"/>
      <c r="BH859" s="126"/>
      <c r="BI859" s="126"/>
      <c r="BJ859" s="126"/>
      <c r="BK859" s="126"/>
      <c r="BL859" s="126"/>
      <c r="BM859" s="126"/>
      <c r="BN859" s="126"/>
      <c r="BO859" s="126"/>
      <c r="BP859" s="126"/>
      <c r="BQ859" s="126"/>
      <c r="BR859" s="126"/>
      <c r="BS859" s="126"/>
      <c r="BT859" s="126"/>
      <c r="BU859" s="126"/>
      <c r="BV859" s="126"/>
      <c r="BW859" s="126"/>
      <c r="BX859" s="126"/>
      <c r="BY859" s="126"/>
      <c r="BZ859" s="126"/>
      <c r="CA859" s="126"/>
      <c r="CB859" s="126"/>
      <c r="CC859" s="126"/>
      <c r="CD859" s="126"/>
      <c r="CE859" s="126"/>
      <c r="CF859" s="126"/>
      <c r="CG859" s="126"/>
      <c r="CH859" s="126"/>
      <c r="CI859" s="126"/>
      <c r="CJ859" s="126"/>
      <c r="CK859" s="126"/>
    </row>
    <row r="860" spans="1:89" ht="9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  <c r="BD860" s="126"/>
      <c r="BE860" s="126"/>
      <c r="BF860" s="126"/>
      <c r="BG860" s="126"/>
      <c r="BH860" s="126"/>
      <c r="BI860" s="126"/>
      <c r="BJ860" s="126"/>
      <c r="BK860" s="126"/>
      <c r="BL860" s="126"/>
      <c r="BM860" s="126"/>
      <c r="BN860" s="126"/>
      <c r="BO860" s="126"/>
      <c r="BP860" s="126"/>
      <c r="BQ860" s="126"/>
      <c r="BR860" s="126"/>
      <c r="BS860" s="126"/>
      <c r="BT860" s="126"/>
      <c r="BU860" s="126"/>
      <c r="BV860" s="126"/>
      <c r="BW860" s="126"/>
      <c r="BX860" s="126"/>
      <c r="BY860" s="126"/>
      <c r="BZ860" s="126"/>
      <c r="CA860" s="126"/>
      <c r="CB860" s="126"/>
      <c r="CC860" s="126"/>
      <c r="CD860" s="126"/>
      <c r="CE860" s="126"/>
      <c r="CF860" s="126"/>
      <c r="CG860" s="126"/>
      <c r="CH860" s="126"/>
      <c r="CI860" s="126"/>
      <c r="CJ860" s="126"/>
      <c r="CK860" s="126"/>
    </row>
    <row r="861" spans="1:89" ht="9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  <c r="BD861" s="126"/>
      <c r="BE861" s="126"/>
      <c r="BF861" s="126"/>
      <c r="BG861" s="126"/>
      <c r="BH861" s="126"/>
      <c r="BI861" s="126"/>
      <c r="BJ861" s="126"/>
      <c r="BK861" s="126"/>
      <c r="BL861" s="126"/>
      <c r="BM861" s="126"/>
      <c r="BN861" s="126"/>
      <c r="BO861" s="126"/>
      <c r="BP861" s="126"/>
      <c r="BQ861" s="126"/>
      <c r="BR861" s="126"/>
      <c r="BS861" s="126"/>
      <c r="BT861" s="126"/>
      <c r="BU861" s="126"/>
      <c r="BV861" s="126"/>
      <c r="BW861" s="126"/>
      <c r="BX861" s="126"/>
      <c r="BY861" s="126"/>
      <c r="BZ861" s="126"/>
      <c r="CA861" s="126"/>
      <c r="CB861" s="126"/>
      <c r="CC861" s="126"/>
      <c r="CD861" s="126"/>
      <c r="CE861" s="126"/>
      <c r="CF861" s="126"/>
      <c r="CG861" s="126"/>
      <c r="CH861" s="126"/>
      <c r="CI861" s="126"/>
      <c r="CJ861" s="126"/>
      <c r="CK861" s="126"/>
    </row>
    <row r="862" spans="1:89" ht="9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  <c r="BD862" s="126"/>
      <c r="BE862" s="126"/>
      <c r="BF862" s="126"/>
      <c r="BG862" s="126"/>
      <c r="BH862" s="126"/>
      <c r="BI862" s="126"/>
      <c r="BJ862" s="126"/>
      <c r="BK862" s="126"/>
      <c r="BL862" s="126"/>
      <c r="BM862" s="126"/>
      <c r="BN862" s="126"/>
      <c r="BO862" s="126"/>
      <c r="BP862" s="126"/>
      <c r="BQ862" s="126"/>
      <c r="BR862" s="126"/>
      <c r="BS862" s="126"/>
      <c r="BT862" s="126"/>
      <c r="BU862" s="126"/>
      <c r="BV862" s="126"/>
      <c r="BW862" s="126"/>
      <c r="BX862" s="126"/>
      <c r="BY862" s="126"/>
      <c r="BZ862" s="126"/>
      <c r="CA862" s="126"/>
      <c r="CB862" s="126"/>
      <c r="CC862" s="126"/>
      <c r="CD862" s="126"/>
      <c r="CE862" s="126"/>
      <c r="CF862" s="126"/>
      <c r="CG862" s="126"/>
      <c r="CH862" s="126"/>
      <c r="CI862" s="126"/>
      <c r="CJ862" s="126"/>
      <c r="CK862" s="126"/>
    </row>
    <row r="863" spans="1:89" ht="9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  <c r="BD863" s="126"/>
      <c r="BE863" s="126"/>
      <c r="BF863" s="126"/>
      <c r="BG863" s="126"/>
      <c r="BH863" s="126"/>
      <c r="BI863" s="126"/>
      <c r="BJ863" s="126"/>
      <c r="BK863" s="126"/>
      <c r="BL863" s="126"/>
      <c r="BM863" s="126"/>
      <c r="BN863" s="126"/>
      <c r="BO863" s="126"/>
      <c r="BP863" s="126"/>
      <c r="BQ863" s="126"/>
      <c r="BR863" s="126"/>
      <c r="BS863" s="126"/>
      <c r="BT863" s="126"/>
      <c r="BU863" s="126"/>
      <c r="BV863" s="126"/>
      <c r="BW863" s="126"/>
      <c r="BX863" s="126"/>
      <c r="BY863" s="126"/>
      <c r="BZ863" s="126"/>
      <c r="CA863" s="126"/>
      <c r="CB863" s="126"/>
      <c r="CC863" s="126"/>
      <c r="CD863" s="126"/>
      <c r="CE863" s="126"/>
      <c r="CF863" s="126"/>
      <c r="CG863" s="126"/>
      <c r="CH863" s="126"/>
      <c r="CI863" s="126"/>
      <c r="CJ863" s="126"/>
      <c r="CK863" s="126"/>
    </row>
    <row r="864" spans="1:89" ht="9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  <c r="BD864" s="126"/>
      <c r="BE864" s="126"/>
      <c r="BF864" s="126"/>
      <c r="BG864" s="126"/>
      <c r="BH864" s="126"/>
      <c r="BI864" s="126"/>
      <c r="BJ864" s="126"/>
      <c r="BK864" s="126"/>
      <c r="BL864" s="126"/>
      <c r="BM864" s="126"/>
      <c r="BN864" s="126"/>
      <c r="BO864" s="126"/>
      <c r="BP864" s="126"/>
      <c r="BQ864" s="126"/>
      <c r="BR864" s="126"/>
      <c r="BS864" s="126"/>
      <c r="BT864" s="126"/>
      <c r="BU864" s="126"/>
      <c r="BV864" s="126"/>
      <c r="BW864" s="126"/>
      <c r="BX864" s="126"/>
      <c r="BY864" s="126"/>
      <c r="BZ864" s="126"/>
      <c r="CA864" s="126"/>
      <c r="CB864" s="126"/>
      <c r="CC864" s="126"/>
      <c r="CD864" s="126"/>
      <c r="CE864" s="126"/>
      <c r="CF864" s="126"/>
      <c r="CG864" s="126"/>
      <c r="CH864" s="126"/>
      <c r="CI864" s="126"/>
      <c r="CJ864" s="126"/>
      <c r="CK864" s="126"/>
    </row>
    <row r="865" spans="1:89" ht="9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  <c r="BD865" s="126"/>
      <c r="BE865" s="126"/>
      <c r="BF865" s="126"/>
      <c r="BG865" s="126"/>
      <c r="BH865" s="126"/>
      <c r="BI865" s="126"/>
      <c r="BJ865" s="126"/>
      <c r="BK865" s="126"/>
      <c r="BL865" s="126"/>
      <c r="BM865" s="126"/>
      <c r="BN865" s="126"/>
      <c r="BO865" s="126"/>
      <c r="BP865" s="126"/>
      <c r="BQ865" s="126"/>
      <c r="BR865" s="126"/>
      <c r="BS865" s="126"/>
      <c r="BT865" s="126"/>
      <c r="BU865" s="126"/>
      <c r="BV865" s="126"/>
      <c r="BW865" s="126"/>
      <c r="BX865" s="126"/>
      <c r="BY865" s="126"/>
      <c r="BZ865" s="126"/>
      <c r="CA865" s="126"/>
      <c r="CB865" s="126"/>
      <c r="CC865" s="126"/>
      <c r="CD865" s="126"/>
      <c r="CE865" s="126"/>
      <c r="CF865" s="126"/>
      <c r="CG865" s="126"/>
      <c r="CH865" s="126"/>
      <c r="CI865" s="126"/>
      <c r="CJ865" s="126"/>
      <c r="CK865" s="126"/>
    </row>
    <row r="866" spans="1:89" ht="9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  <c r="BD866" s="126"/>
      <c r="BE866" s="126"/>
      <c r="BF866" s="126"/>
      <c r="BG866" s="126"/>
      <c r="BH866" s="126"/>
      <c r="BI866" s="126"/>
      <c r="BJ866" s="126"/>
      <c r="BK866" s="126"/>
      <c r="BL866" s="126"/>
      <c r="BM866" s="126"/>
      <c r="BN866" s="126"/>
      <c r="BO866" s="126"/>
      <c r="BP866" s="126"/>
      <c r="BQ866" s="126"/>
      <c r="BR866" s="126"/>
      <c r="BS866" s="126"/>
      <c r="BT866" s="126"/>
      <c r="BU866" s="126"/>
      <c r="BV866" s="126"/>
      <c r="BW866" s="126"/>
      <c r="BX866" s="126"/>
      <c r="BY866" s="126"/>
      <c r="BZ866" s="126"/>
      <c r="CA866" s="126"/>
      <c r="CB866" s="126"/>
      <c r="CC866" s="126"/>
      <c r="CD866" s="126"/>
      <c r="CE866" s="126"/>
      <c r="CF866" s="126"/>
      <c r="CG866" s="126"/>
      <c r="CH866" s="126"/>
      <c r="CI866" s="126"/>
      <c r="CJ866" s="126"/>
      <c r="CK866" s="126"/>
    </row>
    <row r="867" spans="1:89" ht="9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  <c r="BD867" s="126"/>
      <c r="BE867" s="126"/>
      <c r="BF867" s="126"/>
      <c r="BG867" s="126"/>
      <c r="BH867" s="126"/>
      <c r="BI867" s="126"/>
      <c r="BJ867" s="126"/>
      <c r="BK867" s="126"/>
      <c r="BL867" s="126"/>
      <c r="BM867" s="126"/>
      <c r="BN867" s="126"/>
      <c r="BO867" s="126"/>
      <c r="BP867" s="126"/>
      <c r="BQ867" s="126"/>
      <c r="BR867" s="126"/>
      <c r="BS867" s="126"/>
      <c r="BT867" s="126"/>
      <c r="BU867" s="126"/>
      <c r="BV867" s="126"/>
      <c r="BW867" s="126"/>
      <c r="BX867" s="126"/>
      <c r="BY867" s="126"/>
      <c r="BZ867" s="126"/>
      <c r="CA867" s="126"/>
      <c r="CB867" s="126"/>
      <c r="CC867" s="126"/>
      <c r="CD867" s="126"/>
      <c r="CE867" s="126"/>
      <c r="CF867" s="126"/>
      <c r="CG867" s="126"/>
      <c r="CH867" s="126"/>
      <c r="CI867" s="126"/>
      <c r="CJ867" s="126"/>
      <c r="CK867" s="126"/>
    </row>
    <row r="868" spans="1:89" ht="9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  <c r="BD868" s="126"/>
      <c r="BE868" s="126"/>
      <c r="BF868" s="126"/>
      <c r="BG868" s="126"/>
      <c r="BH868" s="126"/>
      <c r="BI868" s="126"/>
      <c r="BJ868" s="126"/>
      <c r="BK868" s="126"/>
      <c r="BL868" s="126"/>
      <c r="BM868" s="126"/>
      <c r="BN868" s="126"/>
      <c r="BO868" s="126"/>
      <c r="BP868" s="126"/>
      <c r="BQ868" s="126"/>
      <c r="BR868" s="126"/>
      <c r="BS868" s="126"/>
      <c r="BT868" s="126"/>
      <c r="BU868" s="126"/>
      <c r="BV868" s="126"/>
      <c r="BW868" s="126"/>
      <c r="BX868" s="126"/>
      <c r="BY868" s="126"/>
      <c r="BZ868" s="126"/>
      <c r="CA868" s="126"/>
      <c r="CB868" s="126"/>
      <c r="CC868" s="126"/>
      <c r="CD868" s="126"/>
      <c r="CE868" s="126"/>
      <c r="CF868" s="126"/>
      <c r="CG868" s="126"/>
      <c r="CH868" s="126"/>
      <c r="CI868" s="126"/>
      <c r="CJ868" s="126"/>
      <c r="CK868" s="126"/>
    </row>
    <row r="869" spans="1:89" ht="9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  <c r="BD869" s="126"/>
      <c r="BE869" s="126"/>
      <c r="BF869" s="126"/>
      <c r="BG869" s="126"/>
      <c r="BH869" s="126"/>
      <c r="BI869" s="126"/>
      <c r="BJ869" s="126"/>
      <c r="BK869" s="126"/>
      <c r="BL869" s="126"/>
      <c r="BM869" s="126"/>
      <c r="BN869" s="126"/>
      <c r="BO869" s="126"/>
      <c r="BP869" s="126"/>
      <c r="BQ869" s="126"/>
      <c r="BR869" s="126"/>
      <c r="BS869" s="126"/>
      <c r="BT869" s="126"/>
      <c r="BU869" s="126"/>
      <c r="BV869" s="126"/>
      <c r="BW869" s="126"/>
      <c r="BX869" s="126"/>
      <c r="BY869" s="126"/>
      <c r="BZ869" s="126"/>
      <c r="CA869" s="126"/>
      <c r="CB869" s="126"/>
      <c r="CC869" s="126"/>
      <c r="CD869" s="126"/>
      <c r="CE869" s="126"/>
      <c r="CF869" s="126"/>
      <c r="CG869" s="126"/>
      <c r="CH869" s="126"/>
      <c r="CI869" s="126"/>
      <c r="CJ869" s="126"/>
      <c r="CK869" s="126"/>
    </row>
    <row r="870" spans="1:89" ht="9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  <c r="BD870" s="126"/>
      <c r="BE870" s="126"/>
      <c r="BF870" s="126"/>
      <c r="BG870" s="126"/>
      <c r="BH870" s="126"/>
      <c r="BI870" s="126"/>
      <c r="BJ870" s="126"/>
      <c r="BK870" s="126"/>
      <c r="BL870" s="126"/>
      <c r="BM870" s="126"/>
      <c r="BN870" s="126"/>
      <c r="BO870" s="126"/>
      <c r="BP870" s="126"/>
      <c r="BQ870" s="126"/>
      <c r="BR870" s="126"/>
      <c r="BS870" s="126"/>
      <c r="BT870" s="126"/>
      <c r="BU870" s="126"/>
      <c r="BV870" s="126"/>
      <c r="BW870" s="126"/>
      <c r="BX870" s="126"/>
      <c r="BY870" s="126"/>
      <c r="BZ870" s="126"/>
      <c r="CA870" s="126"/>
      <c r="CB870" s="126"/>
      <c r="CC870" s="126"/>
      <c r="CD870" s="126"/>
      <c r="CE870" s="126"/>
      <c r="CF870" s="126"/>
      <c r="CG870" s="126"/>
      <c r="CH870" s="126"/>
      <c r="CI870" s="126"/>
      <c r="CJ870" s="126"/>
      <c r="CK870" s="126"/>
    </row>
    <row r="871" spans="1:89" ht="9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  <c r="BD871" s="126"/>
      <c r="BE871" s="126"/>
      <c r="BF871" s="126"/>
      <c r="BG871" s="126"/>
      <c r="BH871" s="126"/>
      <c r="BI871" s="126"/>
      <c r="BJ871" s="126"/>
      <c r="BK871" s="126"/>
      <c r="BL871" s="126"/>
      <c r="BM871" s="126"/>
      <c r="BN871" s="126"/>
      <c r="BO871" s="126"/>
      <c r="BP871" s="126"/>
      <c r="BQ871" s="126"/>
      <c r="BR871" s="126"/>
      <c r="BS871" s="126"/>
      <c r="BT871" s="126"/>
      <c r="BU871" s="126"/>
      <c r="BV871" s="126"/>
      <c r="BW871" s="126"/>
      <c r="BX871" s="126"/>
      <c r="BY871" s="126"/>
      <c r="BZ871" s="126"/>
      <c r="CA871" s="126"/>
      <c r="CB871" s="126"/>
      <c r="CC871" s="126"/>
      <c r="CD871" s="126"/>
      <c r="CE871" s="126"/>
      <c r="CF871" s="126"/>
      <c r="CG871" s="126"/>
      <c r="CH871" s="126"/>
      <c r="CI871" s="126"/>
      <c r="CJ871" s="126"/>
      <c r="CK871" s="126"/>
    </row>
    <row r="872" spans="1:89" ht="9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  <c r="BD872" s="126"/>
      <c r="BE872" s="126"/>
      <c r="BF872" s="126"/>
      <c r="BG872" s="126"/>
      <c r="BH872" s="126"/>
      <c r="BI872" s="126"/>
      <c r="BJ872" s="126"/>
      <c r="BK872" s="126"/>
      <c r="BL872" s="126"/>
      <c r="BM872" s="126"/>
      <c r="BN872" s="126"/>
      <c r="BO872" s="126"/>
      <c r="BP872" s="126"/>
      <c r="BQ872" s="126"/>
      <c r="BR872" s="126"/>
      <c r="BS872" s="126"/>
      <c r="BT872" s="126"/>
      <c r="BU872" s="126"/>
      <c r="BV872" s="126"/>
      <c r="BW872" s="126"/>
      <c r="BX872" s="126"/>
      <c r="BY872" s="126"/>
      <c r="BZ872" s="126"/>
      <c r="CA872" s="126"/>
      <c r="CB872" s="126"/>
      <c r="CC872" s="126"/>
      <c r="CD872" s="126"/>
      <c r="CE872" s="126"/>
      <c r="CF872" s="126"/>
      <c r="CG872" s="126"/>
      <c r="CH872" s="126"/>
      <c r="CI872" s="126"/>
      <c r="CJ872" s="126"/>
      <c r="CK872" s="126"/>
    </row>
    <row r="873" spans="1:89" ht="9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  <c r="BD873" s="126"/>
      <c r="BE873" s="126"/>
      <c r="BF873" s="126"/>
      <c r="BG873" s="126"/>
      <c r="BH873" s="126"/>
      <c r="BI873" s="126"/>
      <c r="BJ873" s="126"/>
      <c r="BK873" s="126"/>
      <c r="BL873" s="126"/>
      <c r="BM873" s="126"/>
      <c r="BN873" s="126"/>
      <c r="BO873" s="126"/>
      <c r="BP873" s="126"/>
      <c r="BQ873" s="126"/>
      <c r="BR873" s="126"/>
      <c r="BS873" s="126"/>
      <c r="BT873" s="126"/>
      <c r="BU873" s="126"/>
      <c r="BV873" s="126"/>
      <c r="BW873" s="126"/>
      <c r="BX873" s="126"/>
      <c r="BY873" s="126"/>
      <c r="BZ873" s="126"/>
      <c r="CA873" s="126"/>
      <c r="CB873" s="126"/>
      <c r="CC873" s="126"/>
      <c r="CD873" s="126"/>
      <c r="CE873" s="126"/>
      <c r="CF873" s="126"/>
      <c r="CG873" s="126"/>
      <c r="CH873" s="126"/>
      <c r="CI873" s="126"/>
      <c r="CJ873" s="126"/>
      <c r="CK873" s="126"/>
    </row>
    <row r="874" spans="1:89" ht="9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  <c r="BD874" s="126"/>
      <c r="BE874" s="126"/>
      <c r="BF874" s="126"/>
      <c r="BG874" s="126"/>
      <c r="BH874" s="126"/>
      <c r="BI874" s="126"/>
      <c r="BJ874" s="126"/>
      <c r="BK874" s="126"/>
      <c r="BL874" s="126"/>
      <c r="BM874" s="126"/>
      <c r="BN874" s="126"/>
      <c r="BO874" s="126"/>
      <c r="BP874" s="126"/>
      <c r="BQ874" s="126"/>
      <c r="BR874" s="126"/>
      <c r="BS874" s="126"/>
      <c r="BT874" s="126"/>
      <c r="BU874" s="126"/>
      <c r="BV874" s="126"/>
      <c r="BW874" s="126"/>
      <c r="BX874" s="126"/>
      <c r="BY874" s="126"/>
      <c r="BZ874" s="126"/>
      <c r="CA874" s="126"/>
      <c r="CB874" s="126"/>
      <c r="CC874" s="126"/>
      <c r="CD874" s="126"/>
      <c r="CE874" s="126"/>
      <c r="CF874" s="126"/>
      <c r="CG874" s="126"/>
      <c r="CH874" s="126"/>
      <c r="CI874" s="126"/>
      <c r="CJ874" s="126"/>
      <c r="CK874" s="126"/>
    </row>
    <row r="875" spans="1:89" ht="9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  <c r="BD875" s="126"/>
      <c r="BE875" s="126"/>
      <c r="BF875" s="126"/>
      <c r="BG875" s="126"/>
      <c r="BH875" s="126"/>
      <c r="BI875" s="126"/>
      <c r="BJ875" s="126"/>
      <c r="BK875" s="126"/>
      <c r="BL875" s="126"/>
      <c r="BM875" s="126"/>
      <c r="BN875" s="126"/>
      <c r="BO875" s="126"/>
      <c r="BP875" s="126"/>
      <c r="BQ875" s="126"/>
      <c r="BR875" s="126"/>
      <c r="BS875" s="126"/>
      <c r="BT875" s="126"/>
      <c r="BU875" s="126"/>
      <c r="BV875" s="126"/>
      <c r="BW875" s="126"/>
      <c r="BX875" s="126"/>
      <c r="BY875" s="126"/>
      <c r="BZ875" s="126"/>
      <c r="CA875" s="126"/>
      <c r="CB875" s="126"/>
      <c r="CC875" s="126"/>
      <c r="CD875" s="126"/>
      <c r="CE875" s="126"/>
      <c r="CF875" s="126"/>
      <c r="CG875" s="126"/>
      <c r="CH875" s="126"/>
      <c r="CI875" s="126"/>
      <c r="CJ875" s="126"/>
      <c r="CK875" s="126"/>
    </row>
    <row r="876" spans="1:89" ht="9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  <c r="BD876" s="126"/>
      <c r="BE876" s="126"/>
      <c r="BF876" s="126"/>
      <c r="BG876" s="126"/>
      <c r="BH876" s="126"/>
      <c r="BI876" s="126"/>
      <c r="BJ876" s="126"/>
      <c r="BK876" s="126"/>
      <c r="BL876" s="126"/>
      <c r="BM876" s="126"/>
      <c r="BN876" s="126"/>
      <c r="BO876" s="126"/>
      <c r="BP876" s="126"/>
      <c r="BQ876" s="126"/>
      <c r="BR876" s="126"/>
      <c r="BS876" s="126"/>
      <c r="BT876" s="126"/>
      <c r="BU876" s="126"/>
      <c r="BV876" s="126"/>
      <c r="BW876" s="126"/>
      <c r="BX876" s="126"/>
      <c r="BY876" s="126"/>
      <c r="BZ876" s="126"/>
      <c r="CA876" s="126"/>
      <c r="CB876" s="126"/>
      <c r="CC876" s="126"/>
      <c r="CD876" s="126"/>
      <c r="CE876" s="126"/>
      <c r="CF876" s="126"/>
      <c r="CG876" s="126"/>
      <c r="CH876" s="126"/>
      <c r="CI876" s="126"/>
      <c r="CJ876" s="126"/>
      <c r="CK876" s="126"/>
    </row>
    <row r="877" spans="1:89" ht="9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  <c r="BD877" s="126"/>
      <c r="BE877" s="126"/>
      <c r="BF877" s="126"/>
      <c r="BG877" s="126"/>
      <c r="BH877" s="126"/>
      <c r="BI877" s="126"/>
      <c r="BJ877" s="126"/>
      <c r="BK877" s="126"/>
      <c r="BL877" s="126"/>
      <c r="BM877" s="126"/>
      <c r="BN877" s="126"/>
      <c r="BO877" s="126"/>
      <c r="BP877" s="126"/>
      <c r="BQ877" s="126"/>
      <c r="BR877" s="126"/>
      <c r="BS877" s="126"/>
      <c r="BT877" s="126"/>
      <c r="BU877" s="126"/>
      <c r="BV877" s="126"/>
      <c r="BW877" s="126"/>
      <c r="BX877" s="126"/>
      <c r="BY877" s="126"/>
      <c r="BZ877" s="126"/>
      <c r="CA877" s="126"/>
      <c r="CB877" s="126"/>
      <c r="CC877" s="126"/>
      <c r="CD877" s="126"/>
      <c r="CE877" s="126"/>
      <c r="CF877" s="126"/>
      <c r="CG877" s="126"/>
      <c r="CH877" s="126"/>
      <c r="CI877" s="126"/>
      <c r="CJ877" s="126"/>
      <c r="CK877" s="126"/>
    </row>
    <row r="878" spans="1:89" ht="9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  <c r="BD878" s="126"/>
      <c r="BE878" s="126"/>
      <c r="BF878" s="126"/>
      <c r="BG878" s="126"/>
      <c r="BH878" s="126"/>
      <c r="BI878" s="126"/>
      <c r="BJ878" s="126"/>
      <c r="BK878" s="126"/>
      <c r="BL878" s="126"/>
      <c r="BM878" s="126"/>
      <c r="BN878" s="126"/>
      <c r="BO878" s="126"/>
      <c r="BP878" s="126"/>
      <c r="BQ878" s="126"/>
      <c r="BR878" s="126"/>
      <c r="BS878" s="126"/>
      <c r="BT878" s="126"/>
      <c r="BU878" s="126"/>
      <c r="BV878" s="126"/>
      <c r="BW878" s="126"/>
      <c r="BX878" s="126"/>
      <c r="BY878" s="126"/>
      <c r="BZ878" s="126"/>
      <c r="CA878" s="126"/>
      <c r="CB878" s="126"/>
      <c r="CC878" s="126"/>
      <c r="CD878" s="126"/>
      <c r="CE878" s="126"/>
      <c r="CF878" s="126"/>
      <c r="CG878" s="126"/>
      <c r="CH878" s="126"/>
      <c r="CI878" s="126"/>
      <c r="CJ878" s="126"/>
      <c r="CK878" s="126"/>
    </row>
    <row r="879" spans="1:89" ht="9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  <c r="BD879" s="126"/>
      <c r="BE879" s="126"/>
      <c r="BF879" s="126"/>
      <c r="BG879" s="126"/>
      <c r="BH879" s="126"/>
      <c r="BI879" s="126"/>
      <c r="BJ879" s="126"/>
      <c r="BK879" s="126"/>
      <c r="BL879" s="126"/>
      <c r="BM879" s="126"/>
      <c r="BN879" s="126"/>
      <c r="BO879" s="126"/>
      <c r="BP879" s="126"/>
      <c r="BQ879" s="126"/>
      <c r="BR879" s="126"/>
      <c r="BS879" s="126"/>
      <c r="BT879" s="126"/>
      <c r="BU879" s="126"/>
      <c r="BV879" s="126"/>
      <c r="BW879" s="126"/>
      <c r="BX879" s="126"/>
      <c r="BY879" s="126"/>
      <c r="BZ879" s="126"/>
      <c r="CA879" s="126"/>
      <c r="CB879" s="126"/>
      <c r="CC879" s="126"/>
      <c r="CD879" s="126"/>
      <c r="CE879" s="126"/>
      <c r="CF879" s="126"/>
      <c r="CG879" s="126"/>
      <c r="CH879" s="126"/>
      <c r="CI879" s="126"/>
      <c r="CJ879" s="126"/>
      <c r="CK879" s="126"/>
    </row>
    <row r="880" spans="1:89" ht="9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  <c r="BD880" s="126"/>
      <c r="BE880" s="126"/>
      <c r="BF880" s="126"/>
      <c r="BG880" s="126"/>
      <c r="BH880" s="126"/>
      <c r="BI880" s="126"/>
      <c r="BJ880" s="126"/>
      <c r="BK880" s="126"/>
      <c r="BL880" s="126"/>
      <c r="BM880" s="126"/>
      <c r="BN880" s="126"/>
      <c r="BO880" s="126"/>
      <c r="BP880" s="126"/>
      <c r="BQ880" s="126"/>
      <c r="BR880" s="126"/>
      <c r="BS880" s="126"/>
      <c r="BT880" s="126"/>
      <c r="BU880" s="126"/>
      <c r="BV880" s="126"/>
      <c r="BW880" s="126"/>
      <c r="BX880" s="126"/>
      <c r="BY880" s="126"/>
      <c r="BZ880" s="126"/>
      <c r="CA880" s="126"/>
      <c r="CB880" s="126"/>
      <c r="CC880" s="126"/>
      <c r="CD880" s="126"/>
      <c r="CE880" s="126"/>
      <c r="CF880" s="126"/>
      <c r="CG880" s="126"/>
      <c r="CH880" s="126"/>
      <c r="CI880" s="126"/>
      <c r="CJ880" s="126"/>
      <c r="CK880" s="126"/>
    </row>
    <row r="881" spans="1:89" ht="9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  <c r="BD881" s="126"/>
      <c r="BE881" s="126"/>
      <c r="BF881" s="126"/>
      <c r="BG881" s="126"/>
      <c r="BH881" s="126"/>
      <c r="BI881" s="126"/>
      <c r="BJ881" s="126"/>
      <c r="BK881" s="126"/>
      <c r="BL881" s="126"/>
      <c r="BM881" s="126"/>
      <c r="BN881" s="126"/>
      <c r="BO881" s="126"/>
      <c r="BP881" s="126"/>
      <c r="BQ881" s="126"/>
      <c r="BR881" s="126"/>
      <c r="BS881" s="126"/>
      <c r="BT881" s="126"/>
      <c r="BU881" s="126"/>
      <c r="BV881" s="126"/>
      <c r="BW881" s="126"/>
      <c r="BX881" s="126"/>
      <c r="BY881" s="126"/>
      <c r="BZ881" s="126"/>
      <c r="CA881" s="126"/>
      <c r="CB881" s="126"/>
      <c r="CC881" s="126"/>
      <c r="CD881" s="126"/>
      <c r="CE881" s="126"/>
      <c r="CF881" s="126"/>
      <c r="CG881" s="126"/>
      <c r="CH881" s="126"/>
      <c r="CI881" s="126"/>
      <c r="CJ881" s="126"/>
      <c r="CK881" s="126"/>
    </row>
    <row r="882" spans="1:89" ht="9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  <c r="BD882" s="126"/>
      <c r="BE882" s="126"/>
      <c r="BF882" s="126"/>
      <c r="BG882" s="126"/>
      <c r="BH882" s="126"/>
      <c r="BI882" s="126"/>
      <c r="BJ882" s="126"/>
      <c r="BK882" s="126"/>
      <c r="BL882" s="126"/>
      <c r="BM882" s="126"/>
      <c r="BN882" s="126"/>
      <c r="BO882" s="126"/>
      <c r="BP882" s="126"/>
      <c r="BQ882" s="126"/>
      <c r="BR882" s="126"/>
      <c r="BS882" s="126"/>
      <c r="BT882" s="126"/>
      <c r="BU882" s="126"/>
      <c r="BV882" s="126"/>
      <c r="BW882" s="126"/>
      <c r="BX882" s="126"/>
      <c r="BY882" s="126"/>
      <c r="BZ882" s="126"/>
      <c r="CA882" s="126"/>
      <c r="CB882" s="126"/>
      <c r="CC882" s="126"/>
      <c r="CD882" s="126"/>
      <c r="CE882" s="126"/>
      <c r="CF882" s="126"/>
      <c r="CG882" s="126"/>
      <c r="CH882" s="126"/>
      <c r="CI882" s="126"/>
      <c r="CJ882" s="126"/>
      <c r="CK882" s="126"/>
    </row>
    <row r="883" spans="1:89" ht="9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  <c r="BC883" s="126"/>
      <c r="BD883" s="126"/>
      <c r="BE883" s="126"/>
      <c r="BF883" s="126"/>
      <c r="BG883" s="126"/>
      <c r="BH883" s="126"/>
      <c r="BI883" s="126"/>
      <c r="BJ883" s="126"/>
      <c r="BK883" s="126"/>
      <c r="BL883" s="126"/>
      <c r="BM883" s="126"/>
      <c r="BN883" s="126"/>
      <c r="BO883" s="126"/>
      <c r="BP883" s="126"/>
      <c r="BQ883" s="126"/>
      <c r="BR883" s="126"/>
      <c r="BS883" s="126"/>
      <c r="BT883" s="126"/>
      <c r="BU883" s="126"/>
      <c r="BV883" s="126"/>
      <c r="BW883" s="126"/>
      <c r="BX883" s="126"/>
      <c r="BY883" s="126"/>
      <c r="BZ883" s="126"/>
      <c r="CA883" s="126"/>
      <c r="CB883" s="126"/>
      <c r="CC883" s="126"/>
      <c r="CD883" s="126"/>
      <c r="CE883" s="126"/>
      <c r="CF883" s="126"/>
      <c r="CG883" s="126"/>
      <c r="CH883" s="126"/>
      <c r="CI883" s="126"/>
      <c r="CJ883" s="126"/>
      <c r="CK883" s="126"/>
    </row>
    <row r="884" spans="1:89" ht="9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  <c r="BC884" s="126"/>
      <c r="BD884" s="126"/>
      <c r="BE884" s="126"/>
      <c r="BF884" s="126"/>
      <c r="BG884" s="126"/>
      <c r="BH884" s="126"/>
      <c r="BI884" s="126"/>
      <c r="BJ884" s="126"/>
      <c r="BK884" s="126"/>
      <c r="BL884" s="126"/>
      <c r="BM884" s="126"/>
      <c r="BN884" s="126"/>
      <c r="BO884" s="126"/>
      <c r="BP884" s="126"/>
      <c r="BQ884" s="126"/>
      <c r="BR884" s="126"/>
      <c r="BS884" s="126"/>
      <c r="BT884" s="126"/>
      <c r="BU884" s="126"/>
      <c r="BV884" s="126"/>
      <c r="BW884" s="126"/>
      <c r="BX884" s="126"/>
      <c r="BY884" s="126"/>
      <c r="BZ884" s="126"/>
      <c r="CA884" s="126"/>
      <c r="CB884" s="126"/>
      <c r="CC884" s="126"/>
      <c r="CD884" s="126"/>
      <c r="CE884" s="126"/>
      <c r="CF884" s="126"/>
      <c r="CG884" s="126"/>
      <c r="CH884" s="126"/>
      <c r="CI884" s="126"/>
      <c r="CJ884" s="126"/>
      <c r="CK884" s="126"/>
    </row>
    <row r="885" spans="1:89" ht="9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  <c r="BC885" s="126"/>
      <c r="BD885" s="126"/>
      <c r="BE885" s="126"/>
      <c r="BF885" s="126"/>
      <c r="BG885" s="126"/>
      <c r="BH885" s="126"/>
      <c r="BI885" s="126"/>
      <c r="BJ885" s="126"/>
      <c r="BK885" s="126"/>
      <c r="BL885" s="126"/>
      <c r="BM885" s="126"/>
      <c r="BN885" s="126"/>
      <c r="BO885" s="126"/>
      <c r="BP885" s="126"/>
      <c r="BQ885" s="126"/>
      <c r="BR885" s="126"/>
      <c r="BS885" s="126"/>
      <c r="BT885" s="126"/>
      <c r="BU885" s="126"/>
      <c r="BV885" s="126"/>
      <c r="BW885" s="126"/>
      <c r="BX885" s="126"/>
      <c r="BY885" s="126"/>
      <c r="BZ885" s="126"/>
      <c r="CA885" s="126"/>
      <c r="CB885" s="126"/>
      <c r="CC885" s="126"/>
      <c r="CD885" s="126"/>
      <c r="CE885" s="126"/>
      <c r="CF885" s="126"/>
      <c r="CG885" s="126"/>
      <c r="CH885" s="126"/>
      <c r="CI885" s="126"/>
      <c r="CJ885" s="126"/>
      <c r="CK885" s="126"/>
    </row>
    <row r="886" spans="1:89" ht="9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  <c r="BC886" s="126"/>
      <c r="BD886" s="126"/>
      <c r="BE886" s="126"/>
      <c r="BF886" s="126"/>
      <c r="BG886" s="126"/>
      <c r="BH886" s="126"/>
      <c r="BI886" s="126"/>
      <c r="BJ886" s="126"/>
      <c r="BK886" s="126"/>
      <c r="BL886" s="126"/>
      <c r="BM886" s="126"/>
      <c r="BN886" s="126"/>
      <c r="BO886" s="126"/>
      <c r="BP886" s="126"/>
      <c r="BQ886" s="126"/>
      <c r="BR886" s="126"/>
      <c r="BS886" s="126"/>
      <c r="BT886" s="126"/>
      <c r="BU886" s="126"/>
      <c r="BV886" s="126"/>
      <c r="BW886" s="126"/>
      <c r="BX886" s="126"/>
      <c r="BY886" s="126"/>
      <c r="BZ886" s="126"/>
      <c r="CA886" s="126"/>
      <c r="CB886" s="126"/>
      <c r="CC886" s="126"/>
      <c r="CD886" s="126"/>
      <c r="CE886" s="126"/>
      <c r="CF886" s="126"/>
      <c r="CG886" s="126"/>
      <c r="CH886" s="126"/>
      <c r="CI886" s="126"/>
      <c r="CJ886" s="126"/>
      <c r="CK886" s="126"/>
    </row>
    <row r="887" spans="1:89" ht="9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  <c r="BC887" s="126"/>
      <c r="BD887" s="126"/>
      <c r="BE887" s="126"/>
      <c r="BF887" s="126"/>
      <c r="BG887" s="126"/>
      <c r="BH887" s="126"/>
      <c r="BI887" s="126"/>
      <c r="BJ887" s="126"/>
      <c r="BK887" s="126"/>
      <c r="BL887" s="126"/>
      <c r="BM887" s="126"/>
      <c r="BN887" s="126"/>
      <c r="BO887" s="126"/>
      <c r="BP887" s="126"/>
      <c r="BQ887" s="126"/>
      <c r="BR887" s="126"/>
      <c r="BS887" s="126"/>
      <c r="BT887" s="126"/>
      <c r="BU887" s="126"/>
      <c r="BV887" s="126"/>
      <c r="BW887" s="126"/>
      <c r="BX887" s="126"/>
      <c r="BY887" s="126"/>
      <c r="BZ887" s="126"/>
      <c r="CA887" s="126"/>
      <c r="CB887" s="126"/>
      <c r="CC887" s="126"/>
      <c r="CD887" s="126"/>
      <c r="CE887" s="126"/>
      <c r="CF887" s="126"/>
      <c r="CG887" s="126"/>
      <c r="CH887" s="126"/>
      <c r="CI887" s="126"/>
      <c r="CJ887" s="126"/>
      <c r="CK887" s="126"/>
    </row>
    <row r="888" spans="1:89" ht="9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  <c r="BC888" s="126"/>
      <c r="BD888" s="126"/>
      <c r="BE888" s="126"/>
      <c r="BF888" s="126"/>
      <c r="BG888" s="126"/>
      <c r="BH888" s="126"/>
      <c r="BI888" s="126"/>
      <c r="BJ888" s="126"/>
      <c r="BK888" s="126"/>
      <c r="BL888" s="126"/>
      <c r="BM888" s="126"/>
      <c r="BN888" s="126"/>
      <c r="BO888" s="126"/>
      <c r="BP888" s="126"/>
      <c r="BQ888" s="126"/>
      <c r="BR888" s="126"/>
      <c r="BS888" s="126"/>
      <c r="BT888" s="126"/>
      <c r="BU888" s="126"/>
      <c r="BV888" s="126"/>
      <c r="BW888" s="126"/>
      <c r="BX888" s="126"/>
      <c r="BY888" s="126"/>
      <c r="BZ888" s="126"/>
      <c r="CA888" s="126"/>
      <c r="CB888" s="126"/>
      <c r="CC888" s="126"/>
      <c r="CD888" s="126"/>
      <c r="CE888" s="126"/>
      <c r="CF888" s="126"/>
      <c r="CG888" s="126"/>
      <c r="CH888" s="126"/>
      <c r="CI888" s="126"/>
      <c r="CJ888" s="126"/>
      <c r="CK888" s="126"/>
    </row>
    <row r="889" spans="1:89" ht="9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  <c r="BC889" s="126"/>
      <c r="BD889" s="126"/>
      <c r="BE889" s="126"/>
      <c r="BF889" s="126"/>
      <c r="BG889" s="126"/>
      <c r="BH889" s="126"/>
      <c r="BI889" s="126"/>
      <c r="BJ889" s="126"/>
      <c r="BK889" s="126"/>
      <c r="BL889" s="126"/>
      <c r="BM889" s="126"/>
      <c r="BN889" s="126"/>
      <c r="BO889" s="126"/>
      <c r="BP889" s="126"/>
      <c r="BQ889" s="126"/>
      <c r="BR889" s="126"/>
      <c r="BS889" s="126"/>
      <c r="BT889" s="126"/>
      <c r="BU889" s="126"/>
      <c r="BV889" s="126"/>
      <c r="BW889" s="126"/>
      <c r="BX889" s="126"/>
      <c r="BY889" s="126"/>
      <c r="BZ889" s="126"/>
      <c r="CA889" s="126"/>
      <c r="CB889" s="126"/>
      <c r="CC889" s="126"/>
      <c r="CD889" s="126"/>
      <c r="CE889" s="126"/>
      <c r="CF889" s="126"/>
      <c r="CG889" s="126"/>
      <c r="CH889" s="126"/>
      <c r="CI889" s="126"/>
      <c r="CJ889" s="126"/>
      <c r="CK889" s="126"/>
    </row>
    <row r="890" spans="1:89" ht="9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  <c r="BC890" s="126"/>
      <c r="BD890" s="126"/>
      <c r="BE890" s="126"/>
      <c r="BF890" s="126"/>
      <c r="BG890" s="126"/>
      <c r="BH890" s="126"/>
      <c r="BI890" s="126"/>
      <c r="BJ890" s="126"/>
      <c r="BK890" s="126"/>
      <c r="BL890" s="126"/>
      <c r="BM890" s="126"/>
      <c r="BN890" s="126"/>
      <c r="BO890" s="126"/>
      <c r="BP890" s="126"/>
      <c r="BQ890" s="126"/>
      <c r="BR890" s="126"/>
      <c r="BS890" s="126"/>
      <c r="BT890" s="126"/>
      <c r="BU890" s="126"/>
      <c r="BV890" s="126"/>
      <c r="BW890" s="126"/>
      <c r="BX890" s="126"/>
      <c r="BY890" s="126"/>
      <c r="BZ890" s="126"/>
      <c r="CA890" s="126"/>
      <c r="CB890" s="126"/>
      <c r="CC890" s="126"/>
      <c r="CD890" s="126"/>
      <c r="CE890" s="126"/>
      <c r="CF890" s="126"/>
      <c r="CG890" s="126"/>
      <c r="CH890" s="126"/>
      <c r="CI890" s="126"/>
      <c r="CJ890" s="126"/>
      <c r="CK890" s="126"/>
    </row>
    <row r="891" spans="1:89" ht="9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  <c r="BC891" s="126"/>
      <c r="BD891" s="126"/>
      <c r="BE891" s="126"/>
      <c r="BF891" s="126"/>
      <c r="BG891" s="126"/>
      <c r="BH891" s="126"/>
      <c r="BI891" s="126"/>
      <c r="BJ891" s="126"/>
      <c r="BK891" s="126"/>
      <c r="BL891" s="126"/>
      <c r="BM891" s="126"/>
      <c r="BN891" s="126"/>
      <c r="BO891" s="126"/>
      <c r="BP891" s="126"/>
      <c r="BQ891" s="126"/>
      <c r="BR891" s="126"/>
      <c r="BS891" s="126"/>
      <c r="BT891" s="126"/>
      <c r="BU891" s="126"/>
      <c r="BV891" s="126"/>
      <c r="BW891" s="126"/>
      <c r="BX891" s="126"/>
      <c r="BY891" s="126"/>
      <c r="BZ891" s="126"/>
      <c r="CA891" s="126"/>
      <c r="CB891" s="126"/>
      <c r="CC891" s="126"/>
      <c r="CD891" s="126"/>
      <c r="CE891" s="126"/>
      <c r="CF891" s="126"/>
      <c r="CG891" s="126"/>
      <c r="CH891" s="126"/>
      <c r="CI891" s="126"/>
      <c r="CJ891" s="126"/>
      <c r="CK891" s="126"/>
    </row>
    <row r="892" spans="1:89" ht="9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  <c r="BC892" s="126"/>
      <c r="BD892" s="126"/>
      <c r="BE892" s="126"/>
      <c r="BF892" s="126"/>
      <c r="BG892" s="126"/>
      <c r="BH892" s="126"/>
      <c r="BI892" s="126"/>
      <c r="BJ892" s="126"/>
      <c r="BK892" s="126"/>
      <c r="BL892" s="126"/>
      <c r="BM892" s="126"/>
      <c r="BN892" s="126"/>
      <c r="BO892" s="126"/>
      <c r="BP892" s="126"/>
      <c r="BQ892" s="126"/>
      <c r="BR892" s="126"/>
      <c r="BS892" s="126"/>
      <c r="BT892" s="126"/>
      <c r="BU892" s="126"/>
      <c r="BV892" s="126"/>
      <c r="BW892" s="126"/>
      <c r="BX892" s="126"/>
      <c r="BY892" s="126"/>
      <c r="BZ892" s="126"/>
      <c r="CA892" s="126"/>
      <c r="CB892" s="126"/>
      <c r="CC892" s="126"/>
      <c r="CD892" s="126"/>
      <c r="CE892" s="126"/>
      <c r="CF892" s="126"/>
      <c r="CG892" s="126"/>
      <c r="CH892" s="126"/>
      <c r="CI892" s="126"/>
      <c r="CJ892" s="126"/>
      <c r="CK892" s="126"/>
    </row>
    <row r="893" spans="1:89" ht="9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  <c r="BC893" s="126"/>
      <c r="BD893" s="126"/>
      <c r="BE893" s="126"/>
      <c r="BF893" s="126"/>
      <c r="BG893" s="126"/>
      <c r="BH893" s="126"/>
      <c r="BI893" s="126"/>
      <c r="BJ893" s="126"/>
      <c r="BK893" s="126"/>
      <c r="BL893" s="126"/>
      <c r="BM893" s="126"/>
      <c r="BN893" s="126"/>
      <c r="BO893" s="126"/>
      <c r="BP893" s="126"/>
      <c r="BQ893" s="126"/>
      <c r="BR893" s="126"/>
      <c r="BS893" s="126"/>
      <c r="BT893" s="126"/>
      <c r="BU893" s="126"/>
      <c r="BV893" s="126"/>
      <c r="BW893" s="126"/>
      <c r="BX893" s="126"/>
      <c r="BY893" s="126"/>
      <c r="BZ893" s="126"/>
      <c r="CA893" s="126"/>
      <c r="CB893" s="126"/>
      <c r="CC893" s="126"/>
      <c r="CD893" s="126"/>
      <c r="CE893" s="126"/>
      <c r="CF893" s="126"/>
      <c r="CG893" s="126"/>
      <c r="CH893" s="126"/>
      <c r="CI893" s="126"/>
      <c r="CJ893" s="126"/>
      <c r="CK893" s="126"/>
    </row>
    <row r="894" spans="1:89" ht="9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  <c r="BC894" s="126"/>
      <c r="BD894" s="126"/>
      <c r="BE894" s="126"/>
      <c r="BF894" s="126"/>
      <c r="BG894" s="126"/>
      <c r="BH894" s="126"/>
      <c r="BI894" s="126"/>
      <c r="BJ894" s="126"/>
      <c r="BK894" s="126"/>
      <c r="BL894" s="126"/>
      <c r="BM894" s="126"/>
      <c r="BN894" s="126"/>
      <c r="BO894" s="126"/>
      <c r="BP894" s="126"/>
      <c r="BQ894" s="126"/>
      <c r="BR894" s="126"/>
      <c r="BS894" s="126"/>
      <c r="BT894" s="126"/>
      <c r="BU894" s="126"/>
      <c r="BV894" s="126"/>
      <c r="BW894" s="126"/>
      <c r="BX894" s="126"/>
      <c r="BY894" s="126"/>
      <c r="BZ894" s="126"/>
      <c r="CA894" s="126"/>
      <c r="CB894" s="126"/>
      <c r="CC894" s="126"/>
      <c r="CD894" s="126"/>
      <c r="CE894" s="126"/>
      <c r="CF894" s="126"/>
      <c r="CG894" s="126"/>
      <c r="CH894" s="126"/>
      <c r="CI894" s="126"/>
      <c r="CJ894" s="126"/>
      <c r="CK894" s="126"/>
    </row>
    <row r="895" spans="1:89" ht="9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  <c r="BC895" s="126"/>
      <c r="BD895" s="126"/>
      <c r="BE895" s="126"/>
      <c r="BF895" s="126"/>
      <c r="BG895" s="126"/>
      <c r="BH895" s="126"/>
      <c r="BI895" s="126"/>
      <c r="BJ895" s="126"/>
      <c r="BK895" s="126"/>
      <c r="BL895" s="126"/>
      <c r="BM895" s="126"/>
      <c r="BN895" s="126"/>
      <c r="BO895" s="126"/>
      <c r="BP895" s="126"/>
      <c r="BQ895" s="126"/>
      <c r="BR895" s="126"/>
      <c r="BS895" s="126"/>
      <c r="BT895" s="126"/>
      <c r="BU895" s="126"/>
      <c r="BV895" s="126"/>
      <c r="BW895" s="126"/>
      <c r="BX895" s="126"/>
      <c r="BY895" s="126"/>
      <c r="BZ895" s="126"/>
      <c r="CA895" s="126"/>
      <c r="CB895" s="126"/>
      <c r="CC895" s="126"/>
      <c r="CD895" s="126"/>
      <c r="CE895" s="126"/>
      <c r="CF895" s="126"/>
      <c r="CG895" s="126"/>
      <c r="CH895" s="126"/>
      <c r="CI895" s="126"/>
      <c r="CJ895" s="126"/>
      <c r="CK895" s="126"/>
    </row>
    <row r="896" spans="1:89" ht="9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  <c r="BC896" s="126"/>
      <c r="BD896" s="126"/>
      <c r="BE896" s="126"/>
      <c r="BF896" s="126"/>
      <c r="BG896" s="126"/>
      <c r="BH896" s="126"/>
      <c r="BI896" s="126"/>
      <c r="BJ896" s="126"/>
      <c r="BK896" s="126"/>
      <c r="BL896" s="126"/>
      <c r="BM896" s="126"/>
      <c r="BN896" s="126"/>
      <c r="BO896" s="126"/>
      <c r="BP896" s="126"/>
      <c r="BQ896" s="126"/>
      <c r="BR896" s="126"/>
      <c r="BS896" s="126"/>
      <c r="BT896" s="126"/>
      <c r="BU896" s="126"/>
      <c r="BV896" s="126"/>
      <c r="BW896" s="126"/>
      <c r="BX896" s="126"/>
      <c r="BY896" s="126"/>
      <c r="BZ896" s="126"/>
      <c r="CA896" s="126"/>
      <c r="CB896" s="126"/>
      <c r="CC896" s="126"/>
      <c r="CD896" s="126"/>
      <c r="CE896" s="126"/>
      <c r="CF896" s="126"/>
      <c r="CG896" s="126"/>
      <c r="CH896" s="126"/>
      <c r="CI896" s="126"/>
      <c r="CJ896" s="126"/>
      <c r="CK896" s="126"/>
    </row>
    <row r="897" spans="1:89" ht="9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  <c r="BC897" s="126"/>
      <c r="BD897" s="126"/>
      <c r="BE897" s="126"/>
      <c r="BF897" s="126"/>
      <c r="BG897" s="126"/>
      <c r="BH897" s="126"/>
      <c r="BI897" s="126"/>
      <c r="BJ897" s="126"/>
      <c r="BK897" s="126"/>
      <c r="BL897" s="126"/>
      <c r="BM897" s="126"/>
      <c r="BN897" s="126"/>
      <c r="BO897" s="126"/>
      <c r="BP897" s="126"/>
      <c r="BQ897" s="126"/>
      <c r="BR897" s="126"/>
      <c r="BS897" s="126"/>
      <c r="BT897" s="126"/>
      <c r="BU897" s="126"/>
      <c r="BV897" s="126"/>
      <c r="BW897" s="126"/>
      <c r="BX897" s="126"/>
      <c r="BY897" s="126"/>
      <c r="BZ897" s="126"/>
      <c r="CA897" s="126"/>
      <c r="CB897" s="126"/>
      <c r="CC897" s="126"/>
      <c r="CD897" s="126"/>
      <c r="CE897" s="126"/>
      <c r="CF897" s="126"/>
      <c r="CG897" s="126"/>
      <c r="CH897" s="126"/>
      <c r="CI897" s="126"/>
      <c r="CJ897" s="126"/>
      <c r="CK897" s="126"/>
    </row>
    <row r="898" spans="1:89" ht="9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  <c r="BC898" s="126"/>
      <c r="BD898" s="126"/>
      <c r="BE898" s="126"/>
      <c r="BF898" s="126"/>
      <c r="BG898" s="126"/>
      <c r="BH898" s="126"/>
      <c r="BI898" s="126"/>
      <c r="BJ898" s="126"/>
      <c r="BK898" s="126"/>
      <c r="BL898" s="126"/>
      <c r="BM898" s="126"/>
      <c r="BN898" s="126"/>
      <c r="BO898" s="126"/>
      <c r="BP898" s="126"/>
      <c r="BQ898" s="126"/>
      <c r="BR898" s="126"/>
      <c r="BS898" s="126"/>
      <c r="BT898" s="126"/>
      <c r="BU898" s="126"/>
      <c r="BV898" s="126"/>
      <c r="BW898" s="126"/>
      <c r="BX898" s="126"/>
      <c r="BY898" s="126"/>
      <c r="BZ898" s="126"/>
      <c r="CA898" s="126"/>
      <c r="CB898" s="126"/>
      <c r="CC898" s="126"/>
      <c r="CD898" s="126"/>
      <c r="CE898" s="126"/>
      <c r="CF898" s="126"/>
      <c r="CG898" s="126"/>
      <c r="CH898" s="126"/>
      <c r="CI898" s="126"/>
      <c r="CJ898" s="126"/>
      <c r="CK898" s="126"/>
    </row>
    <row r="899" spans="1:89" ht="9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  <c r="BC899" s="126"/>
      <c r="BD899" s="126"/>
      <c r="BE899" s="126"/>
      <c r="BF899" s="126"/>
      <c r="BG899" s="126"/>
      <c r="BH899" s="126"/>
      <c r="BI899" s="126"/>
      <c r="BJ899" s="126"/>
      <c r="BK899" s="126"/>
      <c r="BL899" s="126"/>
      <c r="BM899" s="126"/>
      <c r="BN899" s="126"/>
      <c r="BO899" s="126"/>
      <c r="BP899" s="126"/>
      <c r="BQ899" s="126"/>
      <c r="BR899" s="126"/>
      <c r="BS899" s="126"/>
      <c r="BT899" s="126"/>
      <c r="BU899" s="126"/>
      <c r="BV899" s="126"/>
      <c r="BW899" s="126"/>
      <c r="BX899" s="126"/>
      <c r="BY899" s="126"/>
      <c r="BZ899" s="126"/>
      <c r="CA899" s="126"/>
      <c r="CB899" s="126"/>
      <c r="CC899" s="126"/>
      <c r="CD899" s="126"/>
      <c r="CE899" s="126"/>
      <c r="CF899" s="126"/>
      <c r="CG899" s="126"/>
      <c r="CH899" s="126"/>
      <c r="CI899" s="126"/>
      <c r="CJ899" s="126"/>
      <c r="CK899" s="126"/>
    </row>
    <row r="900" spans="1:89" ht="9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  <c r="BC900" s="126"/>
      <c r="BD900" s="126"/>
      <c r="BE900" s="126"/>
      <c r="BF900" s="126"/>
      <c r="BG900" s="126"/>
      <c r="BH900" s="126"/>
      <c r="BI900" s="126"/>
      <c r="BJ900" s="126"/>
      <c r="BK900" s="126"/>
      <c r="BL900" s="126"/>
      <c r="BM900" s="126"/>
      <c r="BN900" s="126"/>
      <c r="BO900" s="126"/>
      <c r="BP900" s="126"/>
      <c r="BQ900" s="126"/>
      <c r="BR900" s="126"/>
      <c r="BS900" s="126"/>
      <c r="BT900" s="126"/>
      <c r="BU900" s="126"/>
      <c r="BV900" s="126"/>
      <c r="BW900" s="126"/>
      <c r="BX900" s="126"/>
      <c r="BY900" s="126"/>
      <c r="BZ900" s="126"/>
      <c r="CA900" s="126"/>
      <c r="CB900" s="126"/>
      <c r="CC900" s="126"/>
      <c r="CD900" s="126"/>
      <c r="CE900" s="126"/>
      <c r="CF900" s="126"/>
      <c r="CG900" s="126"/>
      <c r="CH900" s="126"/>
      <c r="CI900" s="126"/>
      <c r="CJ900" s="126"/>
      <c r="CK900" s="126"/>
    </row>
    <row r="901" spans="1:89" ht="9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  <c r="BC901" s="126"/>
      <c r="BD901" s="126"/>
      <c r="BE901" s="126"/>
      <c r="BF901" s="126"/>
      <c r="BG901" s="126"/>
      <c r="BH901" s="126"/>
      <c r="BI901" s="126"/>
      <c r="BJ901" s="126"/>
      <c r="BK901" s="126"/>
      <c r="BL901" s="126"/>
      <c r="BM901" s="126"/>
      <c r="BN901" s="126"/>
      <c r="BO901" s="126"/>
      <c r="BP901" s="126"/>
      <c r="BQ901" s="126"/>
      <c r="BR901" s="126"/>
      <c r="BS901" s="126"/>
      <c r="BT901" s="126"/>
      <c r="BU901" s="126"/>
      <c r="BV901" s="126"/>
      <c r="BW901" s="126"/>
      <c r="BX901" s="126"/>
      <c r="BY901" s="126"/>
      <c r="BZ901" s="126"/>
      <c r="CA901" s="126"/>
      <c r="CB901" s="126"/>
      <c r="CC901" s="126"/>
      <c r="CD901" s="126"/>
      <c r="CE901" s="126"/>
      <c r="CF901" s="126"/>
      <c r="CG901" s="126"/>
      <c r="CH901" s="126"/>
      <c r="CI901" s="126"/>
      <c r="CJ901" s="126"/>
      <c r="CK901" s="126"/>
    </row>
    <row r="902" spans="1:89" ht="9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  <c r="BC902" s="126"/>
      <c r="BD902" s="126"/>
      <c r="BE902" s="126"/>
      <c r="BF902" s="126"/>
      <c r="BG902" s="126"/>
      <c r="BH902" s="126"/>
      <c r="BI902" s="126"/>
      <c r="BJ902" s="126"/>
      <c r="BK902" s="126"/>
      <c r="BL902" s="126"/>
      <c r="BM902" s="126"/>
      <c r="BN902" s="126"/>
      <c r="BO902" s="126"/>
      <c r="BP902" s="126"/>
      <c r="BQ902" s="126"/>
      <c r="BR902" s="126"/>
      <c r="BS902" s="126"/>
      <c r="BT902" s="126"/>
      <c r="BU902" s="126"/>
      <c r="BV902" s="126"/>
      <c r="BW902" s="126"/>
      <c r="BX902" s="126"/>
      <c r="BY902" s="126"/>
      <c r="BZ902" s="126"/>
      <c r="CA902" s="126"/>
      <c r="CB902" s="126"/>
      <c r="CC902" s="126"/>
      <c r="CD902" s="126"/>
      <c r="CE902" s="126"/>
      <c r="CF902" s="126"/>
      <c r="CG902" s="126"/>
      <c r="CH902" s="126"/>
      <c r="CI902" s="126"/>
      <c r="CJ902" s="126"/>
      <c r="CK902" s="126"/>
    </row>
    <row r="903" spans="1:89" ht="9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  <c r="BC903" s="126"/>
      <c r="BD903" s="126"/>
      <c r="BE903" s="126"/>
      <c r="BF903" s="126"/>
      <c r="BG903" s="126"/>
      <c r="BH903" s="126"/>
      <c r="BI903" s="126"/>
      <c r="BJ903" s="126"/>
      <c r="BK903" s="126"/>
      <c r="BL903" s="126"/>
      <c r="BM903" s="126"/>
      <c r="BN903" s="126"/>
      <c r="BO903" s="126"/>
      <c r="BP903" s="126"/>
      <c r="BQ903" s="126"/>
      <c r="BR903" s="126"/>
      <c r="BS903" s="126"/>
      <c r="BT903" s="126"/>
      <c r="BU903" s="126"/>
      <c r="BV903" s="126"/>
      <c r="BW903" s="126"/>
      <c r="BX903" s="126"/>
      <c r="BY903" s="126"/>
      <c r="BZ903" s="126"/>
      <c r="CA903" s="126"/>
      <c r="CB903" s="126"/>
      <c r="CC903" s="126"/>
      <c r="CD903" s="126"/>
      <c r="CE903" s="126"/>
      <c r="CF903" s="126"/>
      <c r="CG903" s="126"/>
      <c r="CH903" s="126"/>
      <c r="CI903" s="126"/>
      <c r="CJ903" s="126"/>
      <c r="CK903" s="126"/>
    </row>
    <row r="904" spans="1:89" ht="9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  <c r="BC904" s="126"/>
      <c r="BD904" s="126"/>
      <c r="BE904" s="126"/>
      <c r="BF904" s="126"/>
      <c r="BG904" s="126"/>
      <c r="BH904" s="126"/>
      <c r="BI904" s="126"/>
      <c r="BJ904" s="126"/>
      <c r="BK904" s="126"/>
      <c r="BL904" s="126"/>
      <c r="BM904" s="126"/>
      <c r="BN904" s="126"/>
      <c r="BO904" s="126"/>
      <c r="BP904" s="126"/>
      <c r="BQ904" s="126"/>
      <c r="BR904" s="126"/>
      <c r="BS904" s="126"/>
      <c r="BT904" s="126"/>
      <c r="BU904" s="126"/>
      <c r="BV904" s="126"/>
      <c r="BW904" s="126"/>
      <c r="BX904" s="126"/>
      <c r="BY904" s="126"/>
      <c r="BZ904" s="126"/>
      <c r="CA904" s="126"/>
      <c r="CB904" s="126"/>
      <c r="CC904" s="126"/>
      <c r="CD904" s="126"/>
      <c r="CE904" s="126"/>
      <c r="CF904" s="126"/>
      <c r="CG904" s="126"/>
      <c r="CH904" s="126"/>
      <c r="CI904" s="126"/>
      <c r="CJ904" s="126"/>
      <c r="CK904" s="126"/>
    </row>
    <row r="905" spans="1:89" ht="9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  <c r="BC905" s="126"/>
      <c r="BD905" s="126"/>
      <c r="BE905" s="126"/>
      <c r="BF905" s="126"/>
      <c r="BG905" s="126"/>
      <c r="BH905" s="126"/>
      <c r="BI905" s="126"/>
      <c r="BJ905" s="126"/>
      <c r="BK905" s="126"/>
      <c r="BL905" s="126"/>
      <c r="BM905" s="126"/>
      <c r="BN905" s="126"/>
      <c r="BO905" s="126"/>
      <c r="BP905" s="126"/>
      <c r="BQ905" s="126"/>
      <c r="BR905" s="126"/>
      <c r="BS905" s="126"/>
      <c r="BT905" s="126"/>
      <c r="BU905" s="126"/>
      <c r="BV905" s="126"/>
      <c r="BW905" s="126"/>
      <c r="BX905" s="126"/>
      <c r="BY905" s="126"/>
      <c r="BZ905" s="126"/>
      <c r="CA905" s="126"/>
      <c r="CB905" s="126"/>
      <c r="CC905" s="126"/>
      <c r="CD905" s="126"/>
      <c r="CE905" s="126"/>
      <c r="CF905" s="126"/>
      <c r="CG905" s="126"/>
      <c r="CH905" s="126"/>
      <c r="CI905" s="126"/>
      <c r="CJ905" s="126"/>
      <c r="CK905" s="126"/>
    </row>
    <row r="906" spans="1:89" ht="9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  <c r="BC906" s="126"/>
      <c r="BD906" s="126"/>
      <c r="BE906" s="126"/>
      <c r="BF906" s="126"/>
      <c r="BG906" s="126"/>
      <c r="BH906" s="126"/>
      <c r="BI906" s="126"/>
      <c r="BJ906" s="126"/>
      <c r="BK906" s="126"/>
      <c r="BL906" s="126"/>
      <c r="BM906" s="126"/>
      <c r="BN906" s="126"/>
      <c r="BO906" s="126"/>
      <c r="BP906" s="126"/>
      <c r="BQ906" s="126"/>
      <c r="BR906" s="126"/>
      <c r="BS906" s="126"/>
      <c r="BT906" s="126"/>
      <c r="BU906" s="126"/>
      <c r="BV906" s="126"/>
      <c r="BW906" s="126"/>
      <c r="BX906" s="126"/>
      <c r="BY906" s="126"/>
      <c r="BZ906" s="126"/>
      <c r="CA906" s="126"/>
      <c r="CB906" s="126"/>
      <c r="CC906" s="126"/>
      <c r="CD906" s="126"/>
      <c r="CE906" s="126"/>
      <c r="CF906" s="126"/>
      <c r="CG906" s="126"/>
      <c r="CH906" s="126"/>
      <c r="CI906" s="126"/>
      <c r="CJ906" s="126"/>
      <c r="CK906" s="126"/>
    </row>
    <row r="907" spans="1:89" ht="9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  <c r="BC907" s="126"/>
      <c r="BD907" s="126"/>
      <c r="BE907" s="126"/>
      <c r="BF907" s="126"/>
      <c r="BG907" s="126"/>
      <c r="BH907" s="126"/>
      <c r="BI907" s="126"/>
      <c r="BJ907" s="126"/>
      <c r="BK907" s="126"/>
      <c r="BL907" s="126"/>
      <c r="BM907" s="126"/>
      <c r="BN907" s="126"/>
      <c r="BO907" s="126"/>
      <c r="BP907" s="126"/>
      <c r="BQ907" s="126"/>
      <c r="BR907" s="126"/>
      <c r="BS907" s="126"/>
      <c r="BT907" s="126"/>
      <c r="BU907" s="126"/>
      <c r="BV907" s="126"/>
      <c r="BW907" s="126"/>
      <c r="BX907" s="126"/>
      <c r="BY907" s="126"/>
      <c r="BZ907" s="126"/>
      <c r="CA907" s="126"/>
      <c r="CB907" s="126"/>
      <c r="CC907" s="126"/>
      <c r="CD907" s="126"/>
      <c r="CE907" s="126"/>
      <c r="CF907" s="126"/>
      <c r="CG907" s="126"/>
      <c r="CH907" s="126"/>
      <c r="CI907" s="126"/>
      <c r="CJ907" s="126"/>
      <c r="CK907" s="126"/>
    </row>
    <row r="908" spans="1:89" ht="9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  <c r="BC908" s="126"/>
      <c r="BD908" s="126"/>
      <c r="BE908" s="126"/>
      <c r="BF908" s="126"/>
      <c r="BG908" s="126"/>
      <c r="BH908" s="126"/>
      <c r="BI908" s="126"/>
      <c r="BJ908" s="126"/>
      <c r="BK908" s="126"/>
      <c r="BL908" s="126"/>
      <c r="BM908" s="126"/>
      <c r="BN908" s="126"/>
      <c r="BO908" s="126"/>
      <c r="BP908" s="126"/>
      <c r="BQ908" s="126"/>
      <c r="BR908" s="126"/>
      <c r="BS908" s="126"/>
      <c r="BT908" s="126"/>
      <c r="BU908" s="126"/>
      <c r="BV908" s="126"/>
      <c r="BW908" s="126"/>
      <c r="BX908" s="126"/>
      <c r="BY908" s="126"/>
      <c r="BZ908" s="126"/>
      <c r="CA908" s="126"/>
      <c r="CB908" s="126"/>
      <c r="CC908" s="126"/>
      <c r="CD908" s="126"/>
      <c r="CE908" s="126"/>
      <c r="CF908" s="126"/>
      <c r="CG908" s="126"/>
      <c r="CH908" s="126"/>
      <c r="CI908" s="126"/>
      <c r="CJ908" s="126"/>
      <c r="CK908" s="126"/>
    </row>
    <row r="909" spans="1:89" ht="9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  <c r="BC909" s="126"/>
      <c r="BD909" s="126"/>
      <c r="BE909" s="126"/>
      <c r="BF909" s="126"/>
      <c r="BG909" s="126"/>
      <c r="BH909" s="126"/>
      <c r="BI909" s="126"/>
      <c r="BJ909" s="126"/>
      <c r="BK909" s="126"/>
      <c r="BL909" s="126"/>
      <c r="BM909" s="126"/>
      <c r="BN909" s="126"/>
      <c r="BO909" s="126"/>
      <c r="BP909" s="126"/>
      <c r="BQ909" s="126"/>
      <c r="BR909" s="126"/>
      <c r="BS909" s="126"/>
      <c r="BT909" s="126"/>
      <c r="BU909" s="126"/>
      <c r="BV909" s="126"/>
      <c r="BW909" s="126"/>
      <c r="BX909" s="126"/>
      <c r="BY909" s="126"/>
      <c r="BZ909" s="126"/>
      <c r="CA909" s="126"/>
      <c r="CB909" s="126"/>
      <c r="CC909" s="126"/>
      <c r="CD909" s="126"/>
      <c r="CE909" s="126"/>
      <c r="CF909" s="126"/>
      <c r="CG909" s="126"/>
      <c r="CH909" s="126"/>
      <c r="CI909" s="126"/>
      <c r="CJ909" s="126"/>
      <c r="CK909" s="126"/>
    </row>
    <row r="910" spans="1:89" ht="9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  <c r="BC910" s="126"/>
      <c r="BD910" s="126"/>
      <c r="BE910" s="126"/>
      <c r="BF910" s="126"/>
      <c r="BG910" s="126"/>
      <c r="BH910" s="126"/>
      <c r="BI910" s="126"/>
      <c r="BJ910" s="126"/>
      <c r="BK910" s="126"/>
      <c r="BL910" s="126"/>
      <c r="BM910" s="126"/>
      <c r="BN910" s="126"/>
      <c r="BO910" s="126"/>
      <c r="BP910" s="126"/>
      <c r="BQ910" s="126"/>
      <c r="BR910" s="126"/>
      <c r="BS910" s="126"/>
      <c r="BT910" s="126"/>
      <c r="BU910" s="126"/>
      <c r="BV910" s="126"/>
      <c r="BW910" s="126"/>
      <c r="BX910" s="126"/>
      <c r="BY910" s="126"/>
      <c r="BZ910" s="126"/>
      <c r="CA910" s="126"/>
      <c r="CB910" s="126"/>
      <c r="CC910" s="126"/>
      <c r="CD910" s="126"/>
      <c r="CE910" s="126"/>
      <c r="CF910" s="126"/>
      <c r="CG910" s="126"/>
      <c r="CH910" s="126"/>
      <c r="CI910" s="126"/>
      <c r="CJ910" s="126"/>
      <c r="CK910" s="126"/>
    </row>
    <row r="911" spans="1:89" ht="9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  <c r="BC911" s="126"/>
      <c r="BD911" s="126"/>
      <c r="BE911" s="126"/>
      <c r="BF911" s="126"/>
      <c r="BG911" s="126"/>
      <c r="BH911" s="126"/>
      <c r="BI911" s="126"/>
      <c r="BJ911" s="126"/>
      <c r="BK911" s="126"/>
      <c r="BL911" s="126"/>
      <c r="BM911" s="126"/>
      <c r="BN911" s="126"/>
      <c r="BO911" s="126"/>
      <c r="BP911" s="126"/>
      <c r="BQ911" s="126"/>
      <c r="BR911" s="126"/>
      <c r="BS911" s="126"/>
      <c r="BT911" s="126"/>
      <c r="BU911" s="126"/>
      <c r="BV911" s="126"/>
      <c r="BW911" s="126"/>
      <c r="BX911" s="126"/>
      <c r="BY911" s="126"/>
      <c r="BZ911" s="126"/>
      <c r="CA911" s="126"/>
      <c r="CB911" s="126"/>
      <c r="CC911" s="126"/>
      <c r="CD911" s="126"/>
      <c r="CE911" s="126"/>
      <c r="CF911" s="126"/>
      <c r="CG911" s="126"/>
      <c r="CH911" s="126"/>
      <c r="CI911" s="126"/>
      <c r="CJ911" s="126"/>
      <c r="CK911" s="126"/>
    </row>
    <row r="912" spans="1:89" ht="9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  <c r="BC912" s="126"/>
      <c r="BD912" s="126"/>
      <c r="BE912" s="126"/>
      <c r="BF912" s="126"/>
      <c r="BG912" s="126"/>
      <c r="BH912" s="126"/>
      <c r="BI912" s="126"/>
      <c r="BJ912" s="126"/>
      <c r="BK912" s="126"/>
      <c r="BL912" s="126"/>
      <c r="BM912" s="126"/>
      <c r="BN912" s="126"/>
      <c r="BO912" s="126"/>
      <c r="BP912" s="126"/>
      <c r="BQ912" s="126"/>
      <c r="BR912" s="126"/>
      <c r="BS912" s="126"/>
      <c r="BT912" s="126"/>
      <c r="BU912" s="126"/>
      <c r="BV912" s="126"/>
      <c r="BW912" s="126"/>
      <c r="BX912" s="126"/>
      <c r="BY912" s="126"/>
      <c r="BZ912" s="126"/>
      <c r="CA912" s="126"/>
      <c r="CB912" s="126"/>
      <c r="CC912" s="126"/>
      <c r="CD912" s="126"/>
      <c r="CE912" s="126"/>
      <c r="CF912" s="126"/>
      <c r="CG912" s="126"/>
      <c r="CH912" s="126"/>
      <c r="CI912" s="126"/>
      <c r="CJ912" s="126"/>
      <c r="CK912" s="126"/>
    </row>
    <row r="913" spans="1:89" ht="9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  <c r="BC913" s="126"/>
      <c r="BD913" s="126"/>
      <c r="BE913" s="126"/>
      <c r="BF913" s="126"/>
      <c r="BG913" s="126"/>
      <c r="BH913" s="126"/>
      <c r="BI913" s="126"/>
      <c r="BJ913" s="126"/>
      <c r="BK913" s="126"/>
      <c r="BL913" s="126"/>
      <c r="BM913" s="126"/>
      <c r="BN913" s="126"/>
      <c r="BO913" s="126"/>
      <c r="BP913" s="126"/>
      <c r="BQ913" s="126"/>
      <c r="BR913" s="126"/>
      <c r="BS913" s="126"/>
      <c r="BT913" s="126"/>
      <c r="BU913" s="126"/>
      <c r="BV913" s="126"/>
      <c r="BW913" s="126"/>
      <c r="BX913" s="126"/>
      <c r="BY913" s="126"/>
      <c r="BZ913" s="126"/>
      <c r="CA913" s="126"/>
      <c r="CB913" s="126"/>
      <c r="CC913" s="126"/>
      <c r="CD913" s="126"/>
      <c r="CE913" s="126"/>
      <c r="CF913" s="126"/>
      <c r="CG913" s="126"/>
      <c r="CH913" s="126"/>
      <c r="CI913" s="126"/>
      <c r="CJ913" s="126"/>
      <c r="CK913" s="126"/>
    </row>
    <row r="914" spans="1:89" ht="9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  <c r="BC914" s="126"/>
      <c r="BD914" s="126"/>
      <c r="BE914" s="126"/>
      <c r="BF914" s="126"/>
      <c r="BG914" s="126"/>
      <c r="BH914" s="126"/>
      <c r="BI914" s="126"/>
      <c r="BJ914" s="126"/>
      <c r="BK914" s="126"/>
      <c r="BL914" s="126"/>
      <c r="BM914" s="126"/>
      <c r="BN914" s="126"/>
      <c r="BO914" s="126"/>
      <c r="BP914" s="126"/>
      <c r="BQ914" s="126"/>
      <c r="BR914" s="126"/>
      <c r="BS914" s="126"/>
      <c r="BT914" s="126"/>
      <c r="BU914" s="126"/>
      <c r="BV914" s="126"/>
      <c r="BW914" s="126"/>
      <c r="BX914" s="126"/>
      <c r="BY914" s="126"/>
      <c r="BZ914" s="126"/>
      <c r="CA914" s="126"/>
      <c r="CB914" s="126"/>
      <c r="CC914" s="126"/>
      <c r="CD914" s="126"/>
      <c r="CE914" s="126"/>
      <c r="CF914" s="126"/>
      <c r="CG914" s="126"/>
      <c r="CH914" s="126"/>
      <c r="CI914" s="126"/>
      <c r="CJ914" s="126"/>
      <c r="CK914" s="126"/>
    </row>
    <row r="915" spans="1:89" ht="9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  <c r="BC915" s="126"/>
      <c r="BD915" s="126"/>
      <c r="BE915" s="126"/>
      <c r="BF915" s="126"/>
      <c r="BG915" s="126"/>
      <c r="BH915" s="126"/>
      <c r="BI915" s="126"/>
      <c r="BJ915" s="126"/>
      <c r="BK915" s="126"/>
      <c r="BL915" s="126"/>
      <c r="BM915" s="126"/>
      <c r="BN915" s="126"/>
      <c r="BO915" s="126"/>
      <c r="BP915" s="126"/>
      <c r="BQ915" s="126"/>
      <c r="BR915" s="126"/>
      <c r="BS915" s="126"/>
      <c r="BT915" s="126"/>
      <c r="BU915" s="126"/>
      <c r="BV915" s="126"/>
      <c r="BW915" s="126"/>
      <c r="BX915" s="126"/>
      <c r="BY915" s="126"/>
      <c r="BZ915" s="126"/>
      <c r="CA915" s="126"/>
      <c r="CB915" s="126"/>
      <c r="CC915" s="126"/>
      <c r="CD915" s="126"/>
      <c r="CE915" s="126"/>
      <c r="CF915" s="126"/>
      <c r="CG915" s="126"/>
      <c r="CH915" s="126"/>
      <c r="CI915" s="126"/>
      <c r="CJ915" s="126"/>
      <c r="CK915" s="126"/>
    </row>
    <row r="916" spans="1:89" ht="9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  <c r="BC916" s="126"/>
      <c r="BD916" s="126"/>
      <c r="BE916" s="126"/>
      <c r="BF916" s="126"/>
      <c r="BG916" s="126"/>
      <c r="BH916" s="126"/>
      <c r="BI916" s="126"/>
      <c r="BJ916" s="126"/>
      <c r="BK916" s="126"/>
      <c r="BL916" s="126"/>
      <c r="BM916" s="126"/>
      <c r="BN916" s="126"/>
      <c r="BO916" s="126"/>
      <c r="BP916" s="126"/>
      <c r="BQ916" s="126"/>
      <c r="BR916" s="126"/>
      <c r="BS916" s="126"/>
      <c r="BT916" s="126"/>
      <c r="BU916" s="126"/>
      <c r="BV916" s="126"/>
      <c r="BW916" s="126"/>
      <c r="BX916" s="126"/>
      <c r="BY916" s="126"/>
      <c r="BZ916" s="126"/>
      <c r="CA916" s="126"/>
      <c r="CB916" s="126"/>
      <c r="CC916" s="126"/>
      <c r="CD916" s="126"/>
      <c r="CE916" s="126"/>
      <c r="CF916" s="126"/>
      <c r="CG916" s="126"/>
      <c r="CH916" s="126"/>
      <c r="CI916" s="126"/>
      <c r="CJ916" s="126"/>
      <c r="CK916" s="126"/>
    </row>
    <row r="917" spans="1:89" ht="9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  <c r="BC917" s="126"/>
      <c r="BD917" s="126"/>
      <c r="BE917" s="126"/>
      <c r="BF917" s="126"/>
      <c r="BG917" s="126"/>
      <c r="BH917" s="126"/>
      <c r="BI917" s="126"/>
      <c r="BJ917" s="126"/>
      <c r="BK917" s="126"/>
      <c r="BL917" s="126"/>
      <c r="BM917" s="126"/>
      <c r="BN917" s="126"/>
      <c r="BO917" s="126"/>
      <c r="BP917" s="126"/>
      <c r="BQ917" s="126"/>
      <c r="BR917" s="126"/>
      <c r="BS917" s="126"/>
      <c r="BT917" s="126"/>
      <c r="BU917" s="126"/>
      <c r="BV917" s="126"/>
      <c r="BW917" s="126"/>
      <c r="BX917" s="126"/>
      <c r="BY917" s="126"/>
      <c r="BZ917" s="126"/>
      <c r="CA917" s="126"/>
      <c r="CB917" s="126"/>
      <c r="CC917" s="126"/>
      <c r="CD917" s="126"/>
      <c r="CE917" s="126"/>
      <c r="CF917" s="126"/>
      <c r="CG917" s="126"/>
      <c r="CH917" s="126"/>
      <c r="CI917" s="126"/>
      <c r="CJ917" s="126"/>
      <c r="CK917" s="126"/>
    </row>
    <row r="918" spans="1:89" ht="9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  <c r="BC918" s="126"/>
      <c r="BD918" s="126"/>
      <c r="BE918" s="126"/>
      <c r="BF918" s="126"/>
      <c r="BG918" s="126"/>
      <c r="BH918" s="126"/>
      <c r="BI918" s="126"/>
      <c r="BJ918" s="126"/>
      <c r="BK918" s="126"/>
      <c r="BL918" s="126"/>
      <c r="BM918" s="126"/>
      <c r="BN918" s="126"/>
      <c r="BO918" s="126"/>
      <c r="BP918" s="126"/>
      <c r="BQ918" s="126"/>
      <c r="BR918" s="126"/>
      <c r="BS918" s="126"/>
      <c r="BT918" s="126"/>
      <c r="BU918" s="126"/>
      <c r="BV918" s="126"/>
      <c r="BW918" s="126"/>
      <c r="BX918" s="126"/>
      <c r="BY918" s="126"/>
      <c r="BZ918" s="126"/>
      <c r="CA918" s="126"/>
      <c r="CB918" s="126"/>
      <c r="CC918" s="126"/>
      <c r="CD918" s="126"/>
      <c r="CE918" s="126"/>
      <c r="CF918" s="126"/>
      <c r="CG918" s="126"/>
      <c r="CH918" s="126"/>
      <c r="CI918" s="126"/>
      <c r="CJ918" s="126"/>
      <c r="CK918" s="126"/>
    </row>
    <row r="919" spans="1:89" ht="9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  <c r="BC919" s="126"/>
      <c r="BD919" s="126"/>
      <c r="BE919" s="126"/>
      <c r="BF919" s="126"/>
      <c r="BG919" s="126"/>
      <c r="BH919" s="126"/>
      <c r="BI919" s="126"/>
      <c r="BJ919" s="126"/>
      <c r="BK919" s="126"/>
      <c r="BL919" s="126"/>
      <c r="BM919" s="126"/>
      <c r="BN919" s="126"/>
      <c r="BO919" s="126"/>
      <c r="BP919" s="126"/>
      <c r="BQ919" s="126"/>
      <c r="BR919" s="126"/>
      <c r="BS919" s="126"/>
      <c r="BT919" s="126"/>
      <c r="BU919" s="126"/>
      <c r="BV919" s="126"/>
      <c r="BW919" s="126"/>
      <c r="BX919" s="126"/>
      <c r="BY919" s="126"/>
      <c r="BZ919" s="126"/>
      <c r="CA919" s="126"/>
      <c r="CB919" s="126"/>
      <c r="CC919" s="126"/>
      <c r="CD919" s="126"/>
      <c r="CE919" s="126"/>
      <c r="CF919" s="126"/>
      <c r="CG919" s="126"/>
      <c r="CH919" s="126"/>
      <c r="CI919" s="126"/>
      <c r="CJ919" s="126"/>
      <c r="CK919" s="126"/>
    </row>
    <row r="920" spans="1:89" ht="9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  <c r="BC920" s="126"/>
      <c r="BD920" s="126"/>
      <c r="BE920" s="126"/>
      <c r="BF920" s="126"/>
      <c r="BG920" s="126"/>
      <c r="BH920" s="126"/>
      <c r="BI920" s="126"/>
      <c r="BJ920" s="126"/>
      <c r="BK920" s="126"/>
      <c r="BL920" s="126"/>
      <c r="BM920" s="126"/>
      <c r="BN920" s="126"/>
      <c r="BO920" s="126"/>
      <c r="BP920" s="126"/>
      <c r="BQ920" s="126"/>
      <c r="BR920" s="126"/>
      <c r="BS920" s="126"/>
      <c r="BT920" s="126"/>
      <c r="BU920" s="126"/>
      <c r="BV920" s="126"/>
      <c r="BW920" s="126"/>
      <c r="BX920" s="126"/>
      <c r="BY920" s="126"/>
      <c r="BZ920" s="126"/>
      <c r="CA920" s="126"/>
      <c r="CB920" s="126"/>
      <c r="CC920" s="126"/>
      <c r="CD920" s="126"/>
      <c r="CE920" s="126"/>
      <c r="CF920" s="126"/>
      <c r="CG920" s="126"/>
      <c r="CH920" s="126"/>
      <c r="CI920" s="126"/>
      <c r="CJ920" s="126"/>
      <c r="CK920" s="126"/>
    </row>
    <row r="921" spans="1:89" ht="9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  <c r="BC921" s="126"/>
      <c r="BD921" s="126"/>
      <c r="BE921" s="126"/>
      <c r="BF921" s="126"/>
      <c r="BG921" s="126"/>
      <c r="BH921" s="126"/>
      <c r="BI921" s="126"/>
      <c r="BJ921" s="126"/>
      <c r="BK921" s="126"/>
      <c r="BL921" s="126"/>
      <c r="BM921" s="126"/>
      <c r="BN921" s="126"/>
      <c r="BO921" s="126"/>
      <c r="BP921" s="126"/>
      <c r="BQ921" s="126"/>
      <c r="BR921" s="126"/>
      <c r="BS921" s="126"/>
      <c r="BT921" s="126"/>
      <c r="BU921" s="126"/>
      <c r="BV921" s="126"/>
      <c r="BW921" s="126"/>
      <c r="BX921" s="126"/>
      <c r="BY921" s="126"/>
      <c r="BZ921" s="126"/>
      <c r="CA921" s="126"/>
      <c r="CB921" s="126"/>
      <c r="CC921" s="126"/>
      <c r="CD921" s="126"/>
      <c r="CE921" s="126"/>
      <c r="CF921" s="126"/>
      <c r="CG921" s="126"/>
      <c r="CH921" s="126"/>
      <c r="CI921" s="126"/>
      <c r="CJ921" s="126"/>
      <c r="CK921" s="126"/>
    </row>
    <row r="922" spans="1:89" ht="9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  <c r="BC922" s="126"/>
      <c r="BD922" s="126"/>
      <c r="BE922" s="126"/>
      <c r="BF922" s="126"/>
      <c r="BG922" s="126"/>
      <c r="BH922" s="126"/>
      <c r="BI922" s="126"/>
      <c r="BJ922" s="126"/>
      <c r="BK922" s="126"/>
      <c r="BL922" s="126"/>
      <c r="BM922" s="126"/>
      <c r="BN922" s="126"/>
      <c r="BO922" s="126"/>
      <c r="BP922" s="126"/>
      <c r="BQ922" s="126"/>
      <c r="BR922" s="126"/>
      <c r="BS922" s="126"/>
      <c r="BT922" s="126"/>
      <c r="BU922" s="126"/>
      <c r="BV922" s="126"/>
      <c r="BW922" s="126"/>
      <c r="BX922" s="126"/>
      <c r="BY922" s="126"/>
      <c r="BZ922" s="126"/>
      <c r="CA922" s="126"/>
      <c r="CB922" s="126"/>
      <c r="CC922" s="126"/>
      <c r="CD922" s="126"/>
      <c r="CE922" s="126"/>
      <c r="CF922" s="126"/>
      <c r="CG922" s="126"/>
      <c r="CH922" s="126"/>
      <c r="CI922" s="126"/>
      <c r="CJ922" s="126"/>
      <c r="CK922" s="126"/>
    </row>
    <row r="923" spans="1:89" ht="9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  <c r="BC923" s="126"/>
      <c r="BD923" s="126"/>
      <c r="BE923" s="126"/>
      <c r="BF923" s="126"/>
      <c r="BG923" s="126"/>
      <c r="BH923" s="126"/>
      <c r="BI923" s="126"/>
      <c r="BJ923" s="126"/>
      <c r="BK923" s="126"/>
      <c r="BL923" s="126"/>
      <c r="BM923" s="126"/>
      <c r="BN923" s="126"/>
      <c r="BO923" s="126"/>
      <c r="BP923" s="126"/>
      <c r="BQ923" s="126"/>
      <c r="BR923" s="126"/>
      <c r="BS923" s="126"/>
      <c r="BT923" s="126"/>
      <c r="BU923" s="126"/>
      <c r="BV923" s="126"/>
      <c r="BW923" s="126"/>
      <c r="BX923" s="126"/>
      <c r="BY923" s="126"/>
      <c r="BZ923" s="126"/>
      <c r="CA923" s="126"/>
      <c r="CB923" s="126"/>
      <c r="CC923" s="126"/>
      <c r="CD923" s="126"/>
      <c r="CE923" s="126"/>
      <c r="CF923" s="126"/>
      <c r="CG923" s="126"/>
      <c r="CH923" s="126"/>
      <c r="CI923" s="126"/>
      <c r="CJ923" s="126"/>
      <c r="CK923" s="126"/>
    </row>
    <row r="924" spans="1:89" ht="9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  <c r="BC924" s="126"/>
      <c r="BD924" s="126"/>
      <c r="BE924" s="126"/>
      <c r="BF924" s="126"/>
      <c r="BG924" s="126"/>
      <c r="BH924" s="126"/>
      <c r="BI924" s="126"/>
      <c r="BJ924" s="126"/>
      <c r="BK924" s="126"/>
      <c r="BL924" s="126"/>
      <c r="BM924" s="126"/>
      <c r="BN924" s="126"/>
      <c r="BO924" s="126"/>
      <c r="BP924" s="126"/>
      <c r="BQ924" s="126"/>
      <c r="BR924" s="126"/>
      <c r="BS924" s="126"/>
      <c r="BT924" s="126"/>
      <c r="BU924" s="126"/>
      <c r="BV924" s="126"/>
      <c r="BW924" s="126"/>
      <c r="BX924" s="126"/>
      <c r="BY924" s="126"/>
      <c r="BZ924" s="126"/>
      <c r="CA924" s="126"/>
      <c r="CB924" s="126"/>
      <c r="CC924" s="126"/>
      <c r="CD924" s="126"/>
      <c r="CE924" s="126"/>
      <c r="CF924" s="126"/>
      <c r="CG924" s="126"/>
      <c r="CH924" s="126"/>
      <c r="CI924" s="126"/>
      <c r="CJ924" s="126"/>
      <c r="CK924" s="126"/>
    </row>
    <row r="925" spans="1:89" ht="9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  <c r="BC925" s="126"/>
      <c r="BD925" s="126"/>
      <c r="BE925" s="126"/>
      <c r="BF925" s="126"/>
      <c r="BG925" s="126"/>
      <c r="BH925" s="126"/>
      <c r="BI925" s="126"/>
      <c r="BJ925" s="126"/>
      <c r="BK925" s="126"/>
      <c r="BL925" s="126"/>
      <c r="BM925" s="126"/>
      <c r="BN925" s="126"/>
      <c r="BO925" s="126"/>
      <c r="BP925" s="126"/>
      <c r="BQ925" s="126"/>
      <c r="BR925" s="126"/>
      <c r="BS925" s="126"/>
      <c r="BT925" s="126"/>
      <c r="BU925" s="126"/>
      <c r="BV925" s="126"/>
      <c r="BW925" s="126"/>
      <c r="BX925" s="126"/>
      <c r="BY925" s="126"/>
      <c r="BZ925" s="126"/>
      <c r="CA925" s="126"/>
      <c r="CB925" s="126"/>
      <c r="CC925" s="126"/>
      <c r="CD925" s="126"/>
      <c r="CE925" s="126"/>
      <c r="CF925" s="126"/>
      <c r="CG925" s="126"/>
      <c r="CH925" s="126"/>
      <c r="CI925" s="126"/>
      <c r="CJ925" s="126"/>
      <c r="CK925" s="126"/>
    </row>
    <row r="926" spans="1:89" ht="9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  <c r="BC926" s="126"/>
      <c r="BD926" s="126"/>
      <c r="BE926" s="126"/>
      <c r="BF926" s="126"/>
      <c r="BG926" s="126"/>
      <c r="BH926" s="126"/>
      <c r="BI926" s="126"/>
      <c r="BJ926" s="126"/>
      <c r="BK926" s="126"/>
      <c r="BL926" s="126"/>
      <c r="BM926" s="126"/>
      <c r="BN926" s="126"/>
      <c r="BO926" s="126"/>
      <c r="BP926" s="126"/>
      <c r="BQ926" s="126"/>
      <c r="BR926" s="126"/>
      <c r="BS926" s="126"/>
      <c r="BT926" s="126"/>
      <c r="BU926" s="126"/>
      <c r="BV926" s="126"/>
      <c r="BW926" s="126"/>
      <c r="BX926" s="126"/>
      <c r="BY926" s="126"/>
      <c r="BZ926" s="126"/>
      <c r="CA926" s="126"/>
      <c r="CB926" s="126"/>
      <c r="CC926" s="126"/>
      <c r="CD926" s="126"/>
      <c r="CE926" s="126"/>
      <c r="CF926" s="126"/>
      <c r="CG926" s="126"/>
      <c r="CH926" s="126"/>
      <c r="CI926" s="126"/>
      <c r="CJ926" s="126"/>
      <c r="CK926" s="126"/>
    </row>
    <row r="927" spans="1:89" ht="9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  <c r="BC927" s="126"/>
      <c r="BD927" s="126"/>
      <c r="BE927" s="126"/>
      <c r="BF927" s="126"/>
      <c r="BG927" s="126"/>
      <c r="BH927" s="126"/>
      <c r="BI927" s="126"/>
      <c r="BJ927" s="126"/>
      <c r="BK927" s="126"/>
      <c r="BL927" s="126"/>
      <c r="BM927" s="126"/>
      <c r="BN927" s="126"/>
      <c r="BO927" s="126"/>
      <c r="BP927" s="126"/>
      <c r="BQ927" s="126"/>
      <c r="BR927" s="126"/>
      <c r="BS927" s="126"/>
      <c r="BT927" s="126"/>
      <c r="BU927" s="126"/>
      <c r="BV927" s="126"/>
      <c r="BW927" s="126"/>
      <c r="BX927" s="126"/>
      <c r="BY927" s="126"/>
      <c r="BZ927" s="126"/>
      <c r="CA927" s="126"/>
      <c r="CB927" s="126"/>
      <c r="CC927" s="126"/>
      <c r="CD927" s="126"/>
      <c r="CE927" s="126"/>
      <c r="CF927" s="126"/>
      <c r="CG927" s="126"/>
      <c r="CH927" s="126"/>
      <c r="CI927" s="126"/>
      <c r="CJ927" s="126"/>
      <c r="CK927" s="126"/>
    </row>
    <row r="928" spans="1:89" ht="9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  <c r="BC928" s="126"/>
      <c r="BD928" s="126"/>
      <c r="BE928" s="126"/>
      <c r="BF928" s="126"/>
      <c r="BG928" s="126"/>
      <c r="BH928" s="126"/>
      <c r="BI928" s="126"/>
      <c r="BJ928" s="126"/>
      <c r="BK928" s="126"/>
      <c r="BL928" s="126"/>
      <c r="BM928" s="126"/>
      <c r="BN928" s="126"/>
      <c r="BO928" s="126"/>
      <c r="BP928" s="126"/>
      <c r="BQ928" s="126"/>
      <c r="BR928" s="126"/>
      <c r="BS928" s="126"/>
      <c r="BT928" s="126"/>
      <c r="BU928" s="126"/>
      <c r="BV928" s="126"/>
      <c r="BW928" s="126"/>
      <c r="BX928" s="126"/>
      <c r="BY928" s="126"/>
      <c r="BZ928" s="126"/>
      <c r="CA928" s="126"/>
      <c r="CB928" s="126"/>
      <c r="CC928" s="126"/>
      <c r="CD928" s="126"/>
      <c r="CE928" s="126"/>
      <c r="CF928" s="126"/>
      <c r="CG928" s="126"/>
      <c r="CH928" s="126"/>
      <c r="CI928" s="126"/>
      <c r="CJ928" s="126"/>
      <c r="CK928" s="126"/>
    </row>
    <row r="929" spans="1:89" ht="9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  <c r="BC929" s="126"/>
      <c r="BD929" s="126"/>
      <c r="BE929" s="126"/>
      <c r="BF929" s="126"/>
      <c r="BG929" s="126"/>
      <c r="BH929" s="126"/>
      <c r="BI929" s="126"/>
      <c r="BJ929" s="126"/>
      <c r="BK929" s="126"/>
      <c r="BL929" s="126"/>
      <c r="BM929" s="126"/>
      <c r="BN929" s="126"/>
      <c r="BO929" s="126"/>
      <c r="BP929" s="126"/>
      <c r="BQ929" s="126"/>
      <c r="BR929" s="126"/>
      <c r="BS929" s="126"/>
      <c r="BT929" s="126"/>
      <c r="BU929" s="126"/>
      <c r="BV929" s="126"/>
      <c r="BW929" s="126"/>
      <c r="BX929" s="126"/>
      <c r="BY929" s="126"/>
      <c r="BZ929" s="126"/>
      <c r="CA929" s="126"/>
      <c r="CB929" s="126"/>
      <c r="CC929" s="126"/>
      <c r="CD929" s="126"/>
      <c r="CE929" s="126"/>
      <c r="CF929" s="126"/>
      <c r="CG929" s="126"/>
      <c r="CH929" s="126"/>
      <c r="CI929" s="126"/>
      <c r="CJ929" s="126"/>
      <c r="CK929" s="126"/>
    </row>
    <row r="930" spans="1:89" ht="9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  <c r="BC930" s="126"/>
      <c r="BD930" s="126"/>
      <c r="BE930" s="126"/>
      <c r="BF930" s="126"/>
      <c r="BG930" s="126"/>
      <c r="BH930" s="126"/>
      <c r="BI930" s="126"/>
      <c r="BJ930" s="126"/>
      <c r="BK930" s="126"/>
      <c r="BL930" s="126"/>
      <c r="BM930" s="126"/>
      <c r="BN930" s="126"/>
      <c r="BO930" s="126"/>
      <c r="BP930" s="126"/>
      <c r="BQ930" s="126"/>
      <c r="BR930" s="126"/>
      <c r="BS930" s="126"/>
      <c r="BT930" s="126"/>
      <c r="BU930" s="126"/>
      <c r="BV930" s="126"/>
      <c r="BW930" s="126"/>
      <c r="BX930" s="126"/>
      <c r="BY930" s="126"/>
      <c r="BZ930" s="126"/>
      <c r="CA930" s="126"/>
      <c r="CB930" s="126"/>
      <c r="CC930" s="126"/>
      <c r="CD930" s="126"/>
      <c r="CE930" s="126"/>
      <c r="CF930" s="126"/>
      <c r="CG930" s="126"/>
      <c r="CH930" s="126"/>
      <c r="CI930" s="126"/>
      <c r="CJ930" s="126"/>
      <c r="CK930" s="126"/>
    </row>
    <row r="931" spans="1:89" ht="9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  <c r="BC931" s="126"/>
      <c r="BD931" s="126"/>
      <c r="BE931" s="126"/>
      <c r="BF931" s="126"/>
      <c r="BG931" s="126"/>
      <c r="BH931" s="126"/>
      <c r="BI931" s="126"/>
      <c r="BJ931" s="126"/>
      <c r="BK931" s="126"/>
      <c r="BL931" s="126"/>
      <c r="BM931" s="126"/>
      <c r="BN931" s="126"/>
      <c r="BO931" s="126"/>
      <c r="BP931" s="126"/>
      <c r="BQ931" s="126"/>
      <c r="BR931" s="126"/>
      <c r="BS931" s="126"/>
      <c r="BT931" s="126"/>
      <c r="BU931" s="126"/>
      <c r="BV931" s="126"/>
      <c r="BW931" s="126"/>
      <c r="BX931" s="126"/>
      <c r="BY931" s="126"/>
      <c r="BZ931" s="126"/>
      <c r="CA931" s="126"/>
      <c r="CB931" s="126"/>
      <c r="CC931" s="126"/>
      <c r="CD931" s="126"/>
      <c r="CE931" s="126"/>
      <c r="CF931" s="126"/>
      <c r="CG931" s="126"/>
      <c r="CH931" s="126"/>
      <c r="CI931" s="126"/>
      <c r="CJ931" s="126"/>
      <c r="CK931" s="126"/>
    </row>
    <row r="932" spans="1:89" ht="9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  <c r="BC932" s="126"/>
      <c r="BD932" s="126"/>
      <c r="BE932" s="126"/>
      <c r="BF932" s="126"/>
      <c r="BG932" s="126"/>
      <c r="BH932" s="126"/>
      <c r="BI932" s="126"/>
      <c r="BJ932" s="126"/>
      <c r="BK932" s="126"/>
      <c r="BL932" s="126"/>
      <c r="BM932" s="126"/>
      <c r="BN932" s="126"/>
      <c r="BO932" s="126"/>
      <c r="BP932" s="126"/>
      <c r="BQ932" s="126"/>
      <c r="BR932" s="126"/>
      <c r="BS932" s="126"/>
      <c r="BT932" s="126"/>
      <c r="BU932" s="126"/>
      <c r="BV932" s="126"/>
      <c r="BW932" s="126"/>
      <c r="BX932" s="126"/>
      <c r="BY932" s="126"/>
      <c r="BZ932" s="126"/>
      <c r="CA932" s="126"/>
      <c r="CB932" s="126"/>
      <c r="CC932" s="126"/>
      <c r="CD932" s="126"/>
      <c r="CE932" s="126"/>
      <c r="CF932" s="126"/>
      <c r="CG932" s="126"/>
      <c r="CH932" s="126"/>
      <c r="CI932" s="126"/>
      <c r="CJ932" s="126"/>
      <c r="CK932" s="126"/>
    </row>
    <row r="933" spans="1:89" ht="9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  <c r="BC933" s="126"/>
      <c r="BD933" s="126"/>
      <c r="BE933" s="126"/>
      <c r="BF933" s="126"/>
      <c r="BG933" s="126"/>
      <c r="BH933" s="126"/>
      <c r="BI933" s="126"/>
      <c r="BJ933" s="126"/>
      <c r="BK933" s="126"/>
      <c r="BL933" s="126"/>
      <c r="BM933" s="126"/>
      <c r="BN933" s="126"/>
      <c r="BO933" s="126"/>
      <c r="BP933" s="126"/>
      <c r="BQ933" s="126"/>
      <c r="BR933" s="126"/>
      <c r="BS933" s="126"/>
      <c r="BT933" s="126"/>
      <c r="BU933" s="126"/>
      <c r="BV933" s="126"/>
      <c r="BW933" s="126"/>
      <c r="BX933" s="126"/>
      <c r="BY933" s="126"/>
      <c r="BZ933" s="126"/>
      <c r="CA933" s="126"/>
      <c r="CB933" s="126"/>
      <c r="CC933" s="126"/>
      <c r="CD933" s="126"/>
      <c r="CE933" s="126"/>
      <c r="CF933" s="126"/>
      <c r="CG933" s="126"/>
      <c r="CH933" s="126"/>
      <c r="CI933" s="126"/>
      <c r="CJ933" s="126"/>
      <c r="CK933" s="126"/>
    </row>
    <row r="934" spans="1:89" ht="9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  <c r="BC934" s="126"/>
      <c r="BD934" s="126"/>
      <c r="BE934" s="126"/>
      <c r="BF934" s="126"/>
      <c r="BG934" s="126"/>
      <c r="BH934" s="126"/>
      <c r="BI934" s="126"/>
      <c r="BJ934" s="126"/>
      <c r="BK934" s="126"/>
      <c r="BL934" s="126"/>
      <c r="BM934" s="126"/>
      <c r="BN934" s="126"/>
      <c r="BO934" s="126"/>
      <c r="BP934" s="126"/>
      <c r="BQ934" s="126"/>
      <c r="BR934" s="126"/>
      <c r="BS934" s="126"/>
      <c r="BT934" s="126"/>
      <c r="BU934" s="126"/>
      <c r="BV934" s="126"/>
      <c r="BW934" s="126"/>
      <c r="BX934" s="126"/>
      <c r="BY934" s="126"/>
      <c r="BZ934" s="126"/>
      <c r="CA934" s="126"/>
      <c r="CB934" s="126"/>
      <c r="CC934" s="126"/>
      <c r="CD934" s="126"/>
      <c r="CE934" s="126"/>
      <c r="CF934" s="126"/>
      <c r="CG934" s="126"/>
      <c r="CH934" s="126"/>
      <c r="CI934" s="126"/>
      <c r="CJ934" s="126"/>
      <c r="CK934" s="126"/>
    </row>
    <row r="935" spans="1:89" ht="9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  <c r="BC935" s="126"/>
      <c r="BD935" s="126"/>
      <c r="BE935" s="126"/>
      <c r="BF935" s="126"/>
      <c r="BG935" s="126"/>
      <c r="BH935" s="126"/>
      <c r="BI935" s="126"/>
      <c r="BJ935" s="126"/>
      <c r="BK935" s="126"/>
      <c r="BL935" s="126"/>
      <c r="BM935" s="126"/>
      <c r="BN935" s="126"/>
      <c r="BO935" s="126"/>
      <c r="BP935" s="126"/>
      <c r="BQ935" s="126"/>
      <c r="BR935" s="126"/>
      <c r="BS935" s="126"/>
      <c r="BT935" s="126"/>
      <c r="BU935" s="126"/>
      <c r="BV935" s="126"/>
      <c r="BW935" s="126"/>
      <c r="BX935" s="126"/>
      <c r="BY935" s="126"/>
      <c r="BZ935" s="126"/>
      <c r="CA935" s="126"/>
      <c r="CB935" s="126"/>
      <c r="CC935" s="126"/>
      <c r="CD935" s="126"/>
      <c r="CE935" s="126"/>
      <c r="CF935" s="126"/>
      <c r="CG935" s="126"/>
      <c r="CH935" s="126"/>
      <c r="CI935" s="126"/>
      <c r="CJ935" s="126"/>
      <c r="CK935" s="126"/>
    </row>
    <row r="936" spans="1:89" ht="9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  <c r="BC936" s="126"/>
      <c r="BD936" s="126"/>
      <c r="BE936" s="126"/>
      <c r="BF936" s="126"/>
      <c r="BG936" s="126"/>
      <c r="BH936" s="126"/>
      <c r="BI936" s="126"/>
      <c r="BJ936" s="126"/>
      <c r="BK936" s="126"/>
      <c r="BL936" s="126"/>
      <c r="BM936" s="126"/>
      <c r="BN936" s="126"/>
      <c r="BO936" s="126"/>
      <c r="BP936" s="126"/>
      <c r="BQ936" s="126"/>
      <c r="BR936" s="126"/>
      <c r="BS936" s="126"/>
      <c r="BT936" s="126"/>
      <c r="BU936" s="126"/>
      <c r="BV936" s="126"/>
      <c r="BW936" s="126"/>
      <c r="BX936" s="126"/>
      <c r="BY936" s="126"/>
      <c r="BZ936" s="126"/>
      <c r="CA936" s="126"/>
      <c r="CB936" s="126"/>
      <c r="CC936" s="126"/>
      <c r="CD936" s="126"/>
      <c r="CE936" s="126"/>
      <c r="CF936" s="126"/>
      <c r="CG936" s="126"/>
      <c r="CH936" s="126"/>
      <c r="CI936" s="126"/>
      <c r="CJ936" s="126"/>
      <c r="CK936" s="126"/>
    </row>
    <row r="937" spans="1:89" ht="9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  <c r="BC937" s="126"/>
      <c r="BD937" s="126"/>
      <c r="BE937" s="126"/>
      <c r="BF937" s="126"/>
      <c r="BG937" s="126"/>
      <c r="BH937" s="126"/>
      <c r="BI937" s="126"/>
      <c r="BJ937" s="126"/>
      <c r="BK937" s="126"/>
      <c r="BL937" s="126"/>
      <c r="BM937" s="126"/>
      <c r="BN937" s="126"/>
      <c r="BO937" s="126"/>
      <c r="BP937" s="126"/>
      <c r="BQ937" s="126"/>
      <c r="BR937" s="126"/>
      <c r="BS937" s="126"/>
      <c r="BT937" s="126"/>
      <c r="BU937" s="126"/>
      <c r="BV937" s="126"/>
      <c r="BW937" s="126"/>
      <c r="BX937" s="126"/>
      <c r="BY937" s="126"/>
      <c r="BZ937" s="126"/>
      <c r="CA937" s="126"/>
      <c r="CB937" s="126"/>
      <c r="CC937" s="126"/>
      <c r="CD937" s="126"/>
      <c r="CE937" s="126"/>
      <c r="CF937" s="126"/>
      <c r="CG937" s="126"/>
      <c r="CH937" s="126"/>
      <c r="CI937" s="126"/>
      <c r="CJ937" s="126"/>
      <c r="CK937" s="126"/>
    </row>
    <row r="938" spans="1:89" ht="9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  <c r="BC938" s="126"/>
      <c r="BD938" s="126"/>
      <c r="BE938" s="126"/>
      <c r="BF938" s="126"/>
      <c r="BG938" s="126"/>
      <c r="BH938" s="126"/>
      <c r="BI938" s="126"/>
      <c r="BJ938" s="126"/>
      <c r="BK938" s="126"/>
      <c r="BL938" s="126"/>
      <c r="BM938" s="126"/>
      <c r="BN938" s="126"/>
      <c r="BO938" s="126"/>
      <c r="BP938" s="126"/>
      <c r="BQ938" s="126"/>
      <c r="BR938" s="126"/>
      <c r="BS938" s="126"/>
      <c r="BT938" s="126"/>
      <c r="BU938" s="126"/>
      <c r="BV938" s="126"/>
      <c r="BW938" s="126"/>
      <c r="BX938" s="126"/>
      <c r="BY938" s="126"/>
      <c r="BZ938" s="126"/>
      <c r="CA938" s="126"/>
      <c r="CB938" s="126"/>
      <c r="CC938" s="126"/>
      <c r="CD938" s="126"/>
      <c r="CE938" s="126"/>
      <c r="CF938" s="126"/>
      <c r="CG938" s="126"/>
      <c r="CH938" s="126"/>
      <c r="CI938" s="126"/>
      <c r="CJ938" s="126"/>
      <c r="CK938" s="126"/>
    </row>
    <row r="939" spans="1:89" ht="9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  <c r="BC939" s="126"/>
      <c r="BD939" s="126"/>
      <c r="BE939" s="126"/>
      <c r="BF939" s="126"/>
      <c r="BG939" s="126"/>
      <c r="BH939" s="126"/>
      <c r="BI939" s="126"/>
      <c r="BJ939" s="126"/>
      <c r="BK939" s="126"/>
      <c r="BL939" s="126"/>
      <c r="BM939" s="126"/>
      <c r="BN939" s="126"/>
      <c r="BO939" s="126"/>
      <c r="BP939" s="126"/>
      <c r="BQ939" s="126"/>
      <c r="BR939" s="126"/>
      <c r="BS939" s="126"/>
      <c r="BT939" s="126"/>
      <c r="BU939" s="126"/>
      <c r="BV939" s="126"/>
      <c r="BW939" s="126"/>
      <c r="BX939" s="126"/>
      <c r="BY939" s="126"/>
      <c r="BZ939" s="126"/>
      <c r="CA939" s="126"/>
      <c r="CB939" s="126"/>
      <c r="CC939" s="126"/>
      <c r="CD939" s="126"/>
      <c r="CE939" s="126"/>
      <c r="CF939" s="126"/>
      <c r="CG939" s="126"/>
      <c r="CH939" s="126"/>
      <c r="CI939" s="126"/>
      <c r="CJ939" s="126"/>
      <c r="CK939" s="126"/>
    </row>
    <row r="940" spans="1:89" ht="9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  <c r="BC940" s="126"/>
      <c r="BD940" s="126"/>
      <c r="BE940" s="126"/>
      <c r="BF940" s="126"/>
      <c r="BG940" s="126"/>
      <c r="BH940" s="126"/>
      <c r="BI940" s="126"/>
      <c r="BJ940" s="126"/>
      <c r="BK940" s="126"/>
      <c r="BL940" s="126"/>
      <c r="BM940" s="126"/>
      <c r="BN940" s="126"/>
      <c r="BO940" s="126"/>
      <c r="BP940" s="126"/>
      <c r="BQ940" s="126"/>
      <c r="BR940" s="126"/>
      <c r="BS940" s="126"/>
      <c r="BT940" s="126"/>
      <c r="BU940" s="126"/>
      <c r="BV940" s="126"/>
      <c r="BW940" s="126"/>
      <c r="BX940" s="126"/>
      <c r="BY940" s="126"/>
      <c r="BZ940" s="126"/>
      <c r="CA940" s="126"/>
      <c r="CB940" s="126"/>
      <c r="CC940" s="126"/>
      <c r="CD940" s="126"/>
      <c r="CE940" s="126"/>
      <c r="CF940" s="126"/>
      <c r="CG940" s="126"/>
      <c r="CH940" s="126"/>
      <c r="CI940" s="126"/>
      <c r="CJ940" s="126"/>
      <c r="CK940" s="126"/>
    </row>
    <row r="941" spans="1:89" ht="9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  <c r="BC941" s="126"/>
      <c r="BD941" s="126"/>
      <c r="BE941" s="126"/>
      <c r="BF941" s="126"/>
      <c r="BG941" s="126"/>
      <c r="BH941" s="126"/>
      <c r="BI941" s="126"/>
      <c r="BJ941" s="126"/>
      <c r="BK941" s="126"/>
      <c r="BL941" s="126"/>
      <c r="BM941" s="126"/>
      <c r="BN941" s="126"/>
      <c r="BO941" s="126"/>
      <c r="BP941" s="126"/>
      <c r="BQ941" s="126"/>
      <c r="BR941" s="126"/>
      <c r="BS941" s="126"/>
      <c r="BT941" s="126"/>
      <c r="BU941" s="126"/>
      <c r="BV941" s="126"/>
      <c r="BW941" s="126"/>
      <c r="BX941" s="126"/>
      <c r="BY941" s="126"/>
      <c r="BZ941" s="126"/>
      <c r="CA941" s="126"/>
      <c r="CB941" s="126"/>
      <c r="CC941" s="126"/>
      <c r="CD941" s="126"/>
      <c r="CE941" s="126"/>
      <c r="CF941" s="126"/>
      <c r="CG941" s="126"/>
      <c r="CH941" s="126"/>
      <c r="CI941" s="126"/>
      <c r="CJ941" s="126"/>
      <c r="CK941" s="126"/>
    </row>
    <row r="942" spans="1:89" ht="9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  <c r="BC942" s="126"/>
      <c r="BD942" s="126"/>
      <c r="BE942" s="126"/>
      <c r="BF942" s="126"/>
      <c r="BG942" s="126"/>
      <c r="BH942" s="126"/>
      <c r="BI942" s="126"/>
      <c r="BJ942" s="126"/>
      <c r="BK942" s="126"/>
      <c r="BL942" s="126"/>
      <c r="BM942" s="126"/>
      <c r="BN942" s="126"/>
      <c r="BO942" s="126"/>
      <c r="BP942" s="126"/>
      <c r="BQ942" s="126"/>
      <c r="BR942" s="126"/>
      <c r="BS942" s="126"/>
      <c r="BT942" s="126"/>
      <c r="BU942" s="126"/>
      <c r="BV942" s="126"/>
      <c r="BW942" s="126"/>
      <c r="BX942" s="126"/>
      <c r="BY942" s="126"/>
      <c r="BZ942" s="126"/>
      <c r="CA942" s="126"/>
      <c r="CB942" s="126"/>
      <c r="CC942" s="126"/>
      <c r="CD942" s="126"/>
      <c r="CE942" s="126"/>
      <c r="CF942" s="126"/>
      <c r="CG942" s="126"/>
      <c r="CH942" s="126"/>
      <c r="CI942" s="126"/>
      <c r="CJ942" s="126"/>
      <c r="CK942" s="126"/>
    </row>
    <row r="943" spans="1:89" ht="9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  <c r="BC943" s="126"/>
      <c r="BD943" s="126"/>
      <c r="BE943" s="126"/>
      <c r="BF943" s="126"/>
      <c r="BG943" s="126"/>
      <c r="BH943" s="126"/>
      <c r="BI943" s="126"/>
      <c r="BJ943" s="126"/>
      <c r="BK943" s="126"/>
      <c r="BL943" s="126"/>
      <c r="BM943" s="126"/>
      <c r="BN943" s="126"/>
      <c r="BO943" s="126"/>
      <c r="BP943" s="126"/>
      <c r="BQ943" s="126"/>
      <c r="BR943" s="126"/>
      <c r="BS943" s="126"/>
      <c r="BT943" s="126"/>
      <c r="BU943" s="126"/>
      <c r="BV943" s="126"/>
      <c r="BW943" s="126"/>
      <c r="BX943" s="126"/>
      <c r="BY943" s="126"/>
      <c r="BZ943" s="126"/>
      <c r="CA943" s="126"/>
      <c r="CB943" s="126"/>
      <c r="CC943" s="126"/>
      <c r="CD943" s="126"/>
      <c r="CE943" s="126"/>
      <c r="CF943" s="126"/>
      <c r="CG943" s="126"/>
      <c r="CH943" s="126"/>
      <c r="CI943" s="126"/>
      <c r="CJ943" s="126"/>
      <c r="CK943" s="126"/>
    </row>
    <row r="944" spans="1:89" ht="9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  <c r="BC944" s="126"/>
      <c r="BD944" s="126"/>
      <c r="BE944" s="126"/>
      <c r="BF944" s="126"/>
      <c r="BG944" s="126"/>
      <c r="BH944" s="126"/>
      <c r="BI944" s="126"/>
      <c r="BJ944" s="126"/>
      <c r="BK944" s="126"/>
      <c r="BL944" s="126"/>
      <c r="BM944" s="126"/>
      <c r="BN944" s="126"/>
      <c r="BO944" s="126"/>
      <c r="BP944" s="126"/>
      <c r="BQ944" s="126"/>
      <c r="BR944" s="126"/>
      <c r="BS944" s="126"/>
      <c r="BT944" s="126"/>
      <c r="BU944" s="126"/>
      <c r="BV944" s="126"/>
      <c r="BW944" s="126"/>
      <c r="BX944" s="126"/>
      <c r="BY944" s="126"/>
      <c r="BZ944" s="126"/>
      <c r="CA944" s="126"/>
      <c r="CB944" s="126"/>
      <c r="CC944" s="126"/>
      <c r="CD944" s="126"/>
      <c r="CE944" s="126"/>
      <c r="CF944" s="126"/>
      <c r="CG944" s="126"/>
      <c r="CH944" s="126"/>
      <c r="CI944" s="126"/>
      <c r="CJ944" s="126"/>
      <c r="CK944" s="126"/>
    </row>
    <row r="945" spans="1:89" ht="9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  <c r="BC945" s="126"/>
      <c r="BD945" s="126"/>
      <c r="BE945" s="126"/>
      <c r="BF945" s="126"/>
      <c r="BG945" s="126"/>
      <c r="BH945" s="126"/>
      <c r="BI945" s="126"/>
      <c r="BJ945" s="126"/>
      <c r="BK945" s="126"/>
      <c r="BL945" s="126"/>
      <c r="BM945" s="126"/>
      <c r="BN945" s="126"/>
      <c r="BO945" s="126"/>
      <c r="BP945" s="126"/>
      <c r="BQ945" s="126"/>
      <c r="BR945" s="126"/>
      <c r="BS945" s="126"/>
      <c r="BT945" s="126"/>
      <c r="BU945" s="126"/>
      <c r="BV945" s="126"/>
      <c r="BW945" s="126"/>
      <c r="BX945" s="126"/>
      <c r="BY945" s="126"/>
      <c r="BZ945" s="126"/>
      <c r="CA945" s="126"/>
      <c r="CB945" s="126"/>
      <c r="CC945" s="126"/>
      <c r="CD945" s="126"/>
      <c r="CE945" s="126"/>
      <c r="CF945" s="126"/>
      <c r="CG945" s="126"/>
      <c r="CH945" s="126"/>
      <c r="CI945" s="126"/>
      <c r="CJ945" s="126"/>
      <c r="CK945" s="126"/>
    </row>
    <row r="946" spans="1:89" ht="9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  <c r="BC946" s="126"/>
      <c r="BD946" s="126"/>
      <c r="BE946" s="126"/>
      <c r="BF946" s="126"/>
      <c r="BG946" s="126"/>
      <c r="BH946" s="126"/>
      <c r="BI946" s="126"/>
      <c r="BJ946" s="126"/>
      <c r="BK946" s="126"/>
      <c r="BL946" s="126"/>
      <c r="BM946" s="126"/>
      <c r="BN946" s="126"/>
      <c r="BO946" s="126"/>
      <c r="BP946" s="126"/>
      <c r="BQ946" s="126"/>
      <c r="BR946" s="126"/>
      <c r="BS946" s="126"/>
      <c r="BT946" s="126"/>
      <c r="BU946" s="126"/>
      <c r="BV946" s="126"/>
      <c r="BW946" s="126"/>
      <c r="BX946" s="126"/>
      <c r="BY946" s="126"/>
      <c r="BZ946" s="126"/>
      <c r="CA946" s="126"/>
      <c r="CB946" s="126"/>
      <c r="CC946" s="126"/>
      <c r="CD946" s="126"/>
      <c r="CE946" s="126"/>
      <c r="CF946" s="126"/>
      <c r="CG946" s="126"/>
      <c r="CH946" s="126"/>
      <c r="CI946" s="126"/>
      <c r="CJ946" s="126"/>
      <c r="CK946" s="126"/>
    </row>
    <row r="947" spans="1:89" ht="9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  <c r="BC947" s="126"/>
      <c r="BD947" s="126"/>
      <c r="BE947" s="126"/>
      <c r="BF947" s="126"/>
      <c r="BG947" s="126"/>
      <c r="BH947" s="126"/>
      <c r="BI947" s="126"/>
      <c r="BJ947" s="126"/>
      <c r="BK947" s="126"/>
      <c r="BL947" s="126"/>
      <c r="BM947" s="126"/>
      <c r="BN947" s="126"/>
      <c r="BO947" s="126"/>
      <c r="BP947" s="126"/>
      <c r="BQ947" s="126"/>
      <c r="BR947" s="126"/>
      <c r="BS947" s="126"/>
      <c r="BT947" s="126"/>
      <c r="BU947" s="126"/>
      <c r="BV947" s="126"/>
      <c r="BW947" s="126"/>
      <c r="BX947" s="126"/>
      <c r="BY947" s="126"/>
      <c r="BZ947" s="126"/>
      <c r="CA947" s="126"/>
      <c r="CB947" s="126"/>
      <c r="CC947" s="126"/>
      <c r="CD947" s="126"/>
      <c r="CE947" s="126"/>
      <c r="CF947" s="126"/>
      <c r="CG947" s="126"/>
      <c r="CH947" s="126"/>
      <c r="CI947" s="126"/>
      <c r="CJ947" s="126"/>
      <c r="CK947" s="126"/>
    </row>
    <row r="948" spans="1:89" ht="9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  <c r="BC948" s="126"/>
      <c r="BD948" s="126"/>
      <c r="BE948" s="126"/>
      <c r="BF948" s="126"/>
      <c r="BG948" s="126"/>
      <c r="BH948" s="126"/>
      <c r="BI948" s="126"/>
      <c r="BJ948" s="126"/>
      <c r="BK948" s="126"/>
      <c r="BL948" s="126"/>
      <c r="BM948" s="126"/>
      <c r="BN948" s="126"/>
      <c r="BO948" s="126"/>
      <c r="BP948" s="126"/>
      <c r="BQ948" s="126"/>
      <c r="BR948" s="126"/>
      <c r="BS948" s="126"/>
      <c r="BT948" s="126"/>
      <c r="BU948" s="126"/>
      <c r="BV948" s="126"/>
      <c r="BW948" s="126"/>
      <c r="BX948" s="126"/>
      <c r="BY948" s="126"/>
      <c r="BZ948" s="126"/>
      <c r="CA948" s="126"/>
      <c r="CB948" s="126"/>
      <c r="CC948" s="126"/>
      <c r="CD948" s="126"/>
      <c r="CE948" s="126"/>
      <c r="CF948" s="126"/>
      <c r="CG948" s="126"/>
      <c r="CH948" s="126"/>
      <c r="CI948" s="126"/>
      <c r="CJ948" s="126"/>
      <c r="CK948" s="126"/>
    </row>
    <row r="949" spans="1:89" ht="9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  <c r="BC949" s="126"/>
      <c r="BD949" s="126"/>
      <c r="BE949" s="126"/>
      <c r="BF949" s="126"/>
      <c r="BG949" s="126"/>
      <c r="BH949" s="126"/>
      <c r="BI949" s="126"/>
      <c r="BJ949" s="126"/>
      <c r="BK949" s="126"/>
      <c r="BL949" s="126"/>
      <c r="BM949" s="126"/>
      <c r="BN949" s="126"/>
      <c r="BO949" s="126"/>
      <c r="BP949" s="126"/>
      <c r="BQ949" s="126"/>
      <c r="BR949" s="126"/>
      <c r="BS949" s="126"/>
      <c r="BT949" s="126"/>
      <c r="BU949" s="126"/>
      <c r="BV949" s="126"/>
      <c r="BW949" s="126"/>
      <c r="BX949" s="126"/>
      <c r="BY949" s="126"/>
      <c r="BZ949" s="126"/>
      <c r="CA949" s="126"/>
      <c r="CB949" s="126"/>
      <c r="CC949" s="126"/>
      <c r="CD949" s="126"/>
      <c r="CE949" s="126"/>
      <c r="CF949" s="126"/>
      <c r="CG949" s="126"/>
      <c r="CH949" s="126"/>
      <c r="CI949" s="126"/>
      <c r="CJ949" s="126"/>
      <c r="CK949" s="126"/>
    </row>
    <row r="950" spans="1:89" ht="9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  <c r="BC950" s="126"/>
      <c r="BD950" s="126"/>
      <c r="BE950" s="126"/>
      <c r="BF950" s="126"/>
      <c r="BG950" s="126"/>
      <c r="BH950" s="126"/>
      <c r="BI950" s="126"/>
      <c r="BJ950" s="126"/>
      <c r="BK950" s="126"/>
      <c r="BL950" s="126"/>
      <c r="BM950" s="126"/>
      <c r="BN950" s="126"/>
      <c r="BO950" s="126"/>
      <c r="BP950" s="126"/>
      <c r="BQ950" s="126"/>
      <c r="BR950" s="126"/>
      <c r="BS950" s="126"/>
      <c r="BT950" s="126"/>
      <c r="BU950" s="126"/>
      <c r="BV950" s="126"/>
      <c r="BW950" s="126"/>
      <c r="BX950" s="126"/>
      <c r="BY950" s="126"/>
      <c r="BZ950" s="126"/>
      <c r="CA950" s="126"/>
      <c r="CB950" s="126"/>
      <c r="CC950" s="126"/>
      <c r="CD950" s="126"/>
      <c r="CE950" s="126"/>
      <c r="CF950" s="126"/>
      <c r="CG950" s="126"/>
      <c r="CH950" s="126"/>
      <c r="CI950" s="126"/>
      <c r="CJ950" s="126"/>
      <c r="CK950" s="126"/>
    </row>
    <row r="951" spans="1:89" ht="9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  <c r="BC951" s="126"/>
      <c r="BD951" s="126"/>
      <c r="BE951" s="126"/>
      <c r="BF951" s="126"/>
      <c r="BG951" s="126"/>
      <c r="BH951" s="126"/>
      <c r="BI951" s="126"/>
      <c r="BJ951" s="126"/>
      <c r="BK951" s="126"/>
      <c r="BL951" s="126"/>
      <c r="BM951" s="126"/>
      <c r="BN951" s="126"/>
      <c r="BO951" s="126"/>
      <c r="BP951" s="126"/>
      <c r="BQ951" s="126"/>
      <c r="BR951" s="126"/>
      <c r="BS951" s="126"/>
      <c r="BT951" s="126"/>
      <c r="BU951" s="126"/>
      <c r="BV951" s="126"/>
      <c r="BW951" s="126"/>
      <c r="BX951" s="126"/>
      <c r="BY951" s="126"/>
      <c r="BZ951" s="126"/>
      <c r="CA951" s="126"/>
      <c r="CB951" s="126"/>
      <c r="CC951" s="126"/>
      <c r="CD951" s="126"/>
      <c r="CE951" s="126"/>
      <c r="CF951" s="126"/>
      <c r="CG951" s="126"/>
      <c r="CH951" s="126"/>
      <c r="CI951" s="126"/>
      <c r="CJ951" s="126"/>
      <c r="CK951" s="126"/>
    </row>
    <row r="952" spans="1:89" ht="9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  <c r="BC952" s="126"/>
      <c r="BD952" s="126"/>
      <c r="BE952" s="126"/>
      <c r="BF952" s="126"/>
      <c r="BG952" s="126"/>
      <c r="BH952" s="126"/>
      <c r="BI952" s="126"/>
      <c r="BJ952" s="126"/>
      <c r="BK952" s="126"/>
      <c r="BL952" s="126"/>
      <c r="BM952" s="126"/>
      <c r="BN952" s="126"/>
      <c r="BO952" s="126"/>
      <c r="BP952" s="126"/>
      <c r="BQ952" s="126"/>
      <c r="BR952" s="126"/>
      <c r="BS952" s="126"/>
      <c r="BT952" s="126"/>
      <c r="BU952" s="126"/>
      <c r="BV952" s="126"/>
      <c r="BW952" s="126"/>
      <c r="BX952" s="126"/>
      <c r="BY952" s="126"/>
      <c r="BZ952" s="126"/>
      <c r="CA952" s="126"/>
      <c r="CB952" s="126"/>
      <c r="CC952" s="126"/>
      <c r="CD952" s="126"/>
      <c r="CE952" s="126"/>
      <c r="CF952" s="126"/>
      <c r="CG952" s="126"/>
      <c r="CH952" s="126"/>
      <c r="CI952" s="126"/>
      <c r="CJ952" s="126"/>
      <c r="CK952" s="126"/>
    </row>
    <row r="953" spans="1:89" ht="9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  <c r="BC953" s="126"/>
      <c r="BD953" s="126"/>
      <c r="BE953" s="126"/>
      <c r="BF953" s="126"/>
      <c r="BG953" s="126"/>
      <c r="BH953" s="126"/>
      <c r="BI953" s="126"/>
      <c r="BJ953" s="126"/>
      <c r="BK953" s="126"/>
      <c r="BL953" s="126"/>
      <c r="BM953" s="126"/>
      <c r="BN953" s="126"/>
      <c r="BO953" s="126"/>
      <c r="BP953" s="126"/>
      <c r="BQ953" s="126"/>
      <c r="BR953" s="126"/>
      <c r="BS953" s="126"/>
      <c r="BT953" s="126"/>
      <c r="BU953" s="126"/>
      <c r="BV953" s="126"/>
      <c r="BW953" s="126"/>
      <c r="BX953" s="126"/>
      <c r="BY953" s="126"/>
      <c r="BZ953" s="126"/>
      <c r="CA953" s="126"/>
      <c r="CB953" s="126"/>
      <c r="CC953" s="126"/>
      <c r="CD953" s="126"/>
      <c r="CE953" s="126"/>
      <c r="CF953" s="126"/>
      <c r="CG953" s="126"/>
      <c r="CH953" s="126"/>
      <c r="CI953" s="126"/>
      <c r="CJ953" s="126"/>
      <c r="CK953" s="126"/>
    </row>
    <row r="954" spans="1:89" ht="9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  <c r="BC954" s="126"/>
      <c r="BD954" s="126"/>
      <c r="BE954" s="126"/>
      <c r="BF954" s="126"/>
      <c r="BG954" s="126"/>
      <c r="BH954" s="126"/>
      <c r="BI954" s="126"/>
      <c r="BJ954" s="126"/>
      <c r="BK954" s="126"/>
      <c r="BL954" s="126"/>
      <c r="BM954" s="126"/>
      <c r="BN954" s="126"/>
      <c r="BO954" s="126"/>
      <c r="BP954" s="126"/>
      <c r="BQ954" s="126"/>
      <c r="BR954" s="126"/>
      <c r="BS954" s="126"/>
      <c r="BT954" s="126"/>
      <c r="BU954" s="126"/>
      <c r="BV954" s="126"/>
      <c r="BW954" s="126"/>
      <c r="BX954" s="126"/>
      <c r="BY954" s="126"/>
      <c r="BZ954" s="126"/>
      <c r="CA954" s="126"/>
      <c r="CB954" s="126"/>
      <c r="CC954" s="126"/>
      <c r="CD954" s="126"/>
      <c r="CE954" s="126"/>
      <c r="CF954" s="126"/>
      <c r="CG954" s="126"/>
      <c r="CH954" s="126"/>
      <c r="CI954" s="126"/>
      <c r="CJ954" s="126"/>
      <c r="CK954" s="126"/>
    </row>
    <row r="955" spans="1:89" ht="9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  <c r="BC955" s="126"/>
      <c r="BD955" s="126"/>
      <c r="BE955" s="126"/>
      <c r="BF955" s="126"/>
      <c r="BG955" s="126"/>
      <c r="BH955" s="126"/>
      <c r="BI955" s="126"/>
      <c r="BJ955" s="126"/>
      <c r="BK955" s="126"/>
      <c r="BL955" s="126"/>
      <c r="BM955" s="126"/>
      <c r="BN955" s="126"/>
      <c r="BO955" s="126"/>
      <c r="BP955" s="126"/>
      <c r="BQ955" s="126"/>
      <c r="BR955" s="126"/>
      <c r="BS955" s="126"/>
      <c r="BT955" s="126"/>
      <c r="BU955" s="126"/>
      <c r="BV955" s="126"/>
      <c r="BW955" s="126"/>
      <c r="BX955" s="126"/>
      <c r="BY955" s="126"/>
      <c r="BZ955" s="126"/>
      <c r="CA955" s="126"/>
      <c r="CB955" s="126"/>
      <c r="CC955" s="126"/>
      <c r="CD955" s="126"/>
      <c r="CE955" s="126"/>
      <c r="CF955" s="126"/>
      <c r="CG955" s="126"/>
      <c r="CH955" s="126"/>
      <c r="CI955" s="126"/>
      <c r="CJ955" s="126"/>
      <c r="CK955" s="126"/>
    </row>
    <row r="956" spans="1:89" ht="9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  <c r="BC956" s="126"/>
      <c r="BD956" s="126"/>
      <c r="BE956" s="126"/>
      <c r="BF956" s="126"/>
      <c r="BG956" s="126"/>
      <c r="BH956" s="126"/>
      <c r="BI956" s="126"/>
      <c r="BJ956" s="126"/>
      <c r="BK956" s="126"/>
      <c r="BL956" s="126"/>
      <c r="BM956" s="126"/>
      <c r="BN956" s="126"/>
      <c r="BO956" s="126"/>
      <c r="BP956" s="126"/>
      <c r="BQ956" s="126"/>
      <c r="BR956" s="126"/>
      <c r="BS956" s="126"/>
      <c r="BT956" s="126"/>
      <c r="BU956" s="126"/>
      <c r="BV956" s="126"/>
      <c r="BW956" s="126"/>
      <c r="BX956" s="126"/>
      <c r="BY956" s="126"/>
      <c r="BZ956" s="126"/>
      <c r="CA956" s="126"/>
      <c r="CB956" s="126"/>
      <c r="CC956" s="126"/>
      <c r="CD956" s="126"/>
      <c r="CE956" s="126"/>
      <c r="CF956" s="126"/>
      <c r="CG956" s="126"/>
      <c r="CH956" s="126"/>
      <c r="CI956" s="126"/>
      <c r="CJ956" s="126"/>
      <c r="CK956" s="126"/>
    </row>
    <row r="957" spans="1:89" ht="9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  <c r="BC957" s="126"/>
      <c r="BD957" s="126"/>
      <c r="BE957" s="126"/>
      <c r="BF957" s="126"/>
      <c r="BG957" s="126"/>
      <c r="BH957" s="126"/>
      <c r="BI957" s="126"/>
      <c r="BJ957" s="126"/>
      <c r="BK957" s="126"/>
      <c r="BL957" s="126"/>
      <c r="BM957" s="126"/>
      <c r="BN957" s="126"/>
      <c r="BO957" s="126"/>
      <c r="BP957" s="126"/>
      <c r="BQ957" s="126"/>
      <c r="BR957" s="126"/>
      <c r="BS957" s="126"/>
      <c r="BT957" s="126"/>
      <c r="BU957" s="126"/>
      <c r="BV957" s="126"/>
      <c r="BW957" s="126"/>
      <c r="BX957" s="126"/>
      <c r="BY957" s="126"/>
      <c r="BZ957" s="126"/>
      <c r="CA957" s="126"/>
      <c r="CB957" s="126"/>
      <c r="CC957" s="126"/>
      <c r="CD957" s="126"/>
      <c r="CE957" s="126"/>
      <c r="CF957" s="126"/>
      <c r="CG957" s="126"/>
      <c r="CH957" s="126"/>
      <c r="CI957" s="126"/>
      <c r="CJ957" s="126"/>
      <c r="CK957" s="126"/>
    </row>
    <row r="958" spans="1:89" ht="9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  <c r="BC958" s="126"/>
      <c r="BD958" s="126"/>
      <c r="BE958" s="126"/>
      <c r="BF958" s="126"/>
      <c r="BG958" s="126"/>
      <c r="BH958" s="126"/>
      <c r="BI958" s="126"/>
      <c r="BJ958" s="126"/>
      <c r="BK958" s="126"/>
      <c r="BL958" s="126"/>
      <c r="BM958" s="126"/>
      <c r="BN958" s="126"/>
      <c r="BO958" s="126"/>
      <c r="BP958" s="126"/>
      <c r="BQ958" s="126"/>
      <c r="BR958" s="126"/>
      <c r="BS958" s="126"/>
      <c r="BT958" s="126"/>
      <c r="BU958" s="126"/>
      <c r="BV958" s="126"/>
      <c r="BW958" s="126"/>
      <c r="BX958" s="126"/>
      <c r="BY958" s="126"/>
      <c r="BZ958" s="126"/>
      <c r="CA958" s="126"/>
      <c r="CB958" s="126"/>
      <c r="CC958" s="126"/>
      <c r="CD958" s="126"/>
      <c r="CE958" s="126"/>
      <c r="CF958" s="126"/>
      <c r="CG958" s="126"/>
      <c r="CH958" s="126"/>
      <c r="CI958" s="126"/>
      <c r="CJ958" s="126"/>
      <c r="CK958" s="126"/>
    </row>
    <row r="959" spans="1:89" ht="9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  <c r="BC959" s="126"/>
      <c r="BD959" s="126"/>
      <c r="BE959" s="126"/>
      <c r="BF959" s="126"/>
      <c r="BG959" s="126"/>
      <c r="BH959" s="126"/>
      <c r="BI959" s="126"/>
      <c r="BJ959" s="126"/>
      <c r="BK959" s="126"/>
      <c r="BL959" s="126"/>
      <c r="BM959" s="126"/>
      <c r="BN959" s="126"/>
      <c r="BO959" s="126"/>
      <c r="BP959" s="126"/>
      <c r="BQ959" s="126"/>
      <c r="BR959" s="126"/>
      <c r="BS959" s="126"/>
      <c r="BT959" s="126"/>
      <c r="BU959" s="126"/>
      <c r="BV959" s="126"/>
      <c r="BW959" s="126"/>
      <c r="BX959" s="126"/>
      <c r="BY959" s="126"/>
      <c r="BZ959" s="126"/>
      <c r="CA959" s="126"/>
      <c r="CB959" s="126"/>
      <c r="CC959" s="126"/>
      <c r="CD959" s="126"/>
      <c r="CE959" s="126"/>
      <c r="CF959" s="126"/>
      <c r="CG959" s="126"/>
      <c r="CH959" s="126"/>
      <c r="CI959" s="126"/>
      <c r="CJ959" s="126"/>
      <c r="CK959" s="126"/>
    </row>
    <row r="960" spans="1:89" ht="9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  <c r="BC960" s="126"/>
      <c r="BD960" s="126"/>
      <c r="BE960" s="126"/>
      <c r="BF960" s="126"/>
      <c r="BG960" s="126"/>
      <c r="BH960" s="126"/>
      <c r="BI960" s="126"/>
      <c r="BJ960" s="126"/>
      <c r="BK960" s="126"/>
      <c r="BL960" s="126"/>
      <c r="BM960" s="126"/>
      <c r="BN960" s="126"/>
      <c r="BO960" s="126"/>
      <c r="BP960" s="126"/>
      <c r="BQ960" s="126"/>
      <c r="BR960" s="126"/>
      <c r="BS960" s="126"/>
      <c r="BT960" s="126"/>
      <c r="BU960" s="126"/>
      <c r="BV960" s="126"/>
      <c r="BW960" s="126"/>
      <c r="BX960" s="126"/>
      <c r="BY960" s="126"/>
      <c r="BZ960" s="126"/>
      <c r="CA960" s="126"/>
      <c r="CB960" s="126"/>
      <c r="CC960" s="126"/>
      <c r="CD960" s="126"/>
      <c r="CE960" s="126"/>
      <c r="CF960" s="126"/>
      <c r="CG960" s="126"/>
      <c r="CH960" s="126"/>
      <c r="CI960" s="126"/>
      <c r="CJ960" s="126"/>
      <c r="CK960" s="126"/>
    </row>
    <row r="961" spans="1:89" ht="9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  <c r="BC961" s="126"/>
      <c r="BD961" s="126"/>
      <c r="BE961" s="126"/>
      <c r="BF961" s="126"/>
      <c r="BG961" s="126"/>
      <c r="BH961" s="126"/>
      <c r="BI961" s="126"/>
      <c r="BJ961" s="126"/>
      <c r="BK961" s="126"/>
      <c r="BL961" s="126"/>
      <c r="BM961" s="126"/>
      <c r="BN961" s="126"/>
      <c r="BO961" s="126"/>
      <c r="BP961" s="126"/>
      <c r="BQ961" s="126"/>
      <c r="BR961" s="126"/>
      <c r="BS961" s="126"/>
      <c r="BT961" s="126"/>
      <c r="BU961" s="126"/>
      <c r="BV961" s="126"/>
      <c r="BW961" s="126"/>
      <c r="BX961" s="126"/>
      <c r="BY961" s="126"/>
      <c r="BZ961" s="126"/>
      <c r="CA961" s="126"/>
      <c r="CB961" s="126"/>
      <c r="CC961" s="126"/>
      <c r="CD961" s="126"/>
      <c r="CE961" s="126"/>
      <c r="CF961" s="126"/>
      <c r="CG961" s="126"/>
      <c r="CH961" s="126"/>
      <c r="CI961" s="126"/>
      <c r="CJ961" s="126"/>
      <c r="CK961" s="126"/>
    </row>
    <row r="962" spans="1:89" ht="9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  <c r="BC962" s="126"/>
      <c r="BD962" s="126"/>
      <c r="BE962" s="126"/>
      <c r="BF962" s="126"/>
      <c r="BG962" s="126"/>
      <c r="BH962" s="126"/>
      <c r="BI962" s="126"/>
      <c r="BJ962" s="126"/>
      <c r="BK962" s="126"/>
      <c r="BL962" s="126"/>
      <c r="BM962" s="126"/>
      <c r="BN962" s="126"/>
      <c r="BO962" s="126"/>
      <c r="BP962" s="126"/>
      <c r="BQ962" s="126"/>
      <c r="BR962" s="126"/>
      <c r="BS962" s="126"/>
      <c r="BT962" s="126"/>
      <c r="BU962" s="126"/>
      <c r="BV962" s="126"/>
      <c r="BW962" s="126"/>
      <c r="BX962" s="126"/>
      <c r="BY962" s="126"/>
      <c r="BZ962" s="126"/>
      <c r="CA962" s="126"/>
      <c r="CB962" s="126"/>
      <c r="CC962" s="126"/>
      <c r="CD962" s="126"/>
      <c r="CE962" s="126"/>
      <c r="CF962" s="126"/>
      <c r="CG962" s="126"/>
      <c r="CH962" s="126"/>
      <c r="CI962" s="126"/>
      <c r="CJ962" s="126"/>
      <c r="CK962" s="126"/>
    </row>
    <row r="963" spans="1:89" ht="9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  <c r="BC963" s="126"/>
      <c r="BD963" s="126"/>
      <c r="BE963" s="126"/>
      <c r="BF963" s="126"/>
      <c r="BG963" s="126"/>
      <c r="BH963" s="126"/>
      <c r="BI963" s="126"/>
      <c r="BJ963" s="126"/>
      <c r="BK963" s="126"/>
      <c r="BL963" s="126"/>
      <c r="BM963" s="126"/>
      <c r="BN963" s="126"/>
      <c r="BO963" s="126"/>
      <c r="BP963" s="126"/>
      <c r="BQ963" s="126"/>
      <c r="BR963" s="126"/>
      <c r="BS963" s="126"/>
      <c r="BT963" s="126"/>
      <c r="BU963" s="126"/>
      <c r="BV963" s="126"/>
      <c r="BW963" s="126"/>
      <c r="BX963" s="126"/>
      <c r="BY963" s="126"/>
      <c r="BZ963" s="126"/>
      <c r="CA963" s="126"/>
      <c r="CB963" s="126"/>
      <c r="CC963" s="126"/>
      <c r="CD963" s="126"/>
      <c r="CE963" s="126"/>
      <c r="CF963" s="126"/>
      <c r="CG963" s="126"/>
      <c r="CH963" s="126"/>
      <c r="CI963" s="126"/>
      <c r="CJ963" s="126"/>
      <c r="CK963" s="126"/>
    </row>
    <row r="964" spans="1:89" ht="9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  <c r="BC964" s="126"/>
      <c r="BD964" s="126"/>
      <c r="BE964" s="126"/>
      <c r="BF964" s="126"/>
      <c r="BG964" s="126"/>
      <c r="BH964" s="126"/>
      <c r="BI964" s="126"/>
      <c r="BJ964" s="126"/>
      <c r="BK964" s="126"/>
      <c r="BL964" s="126"/>
      <c r="BM964" s="126"/>
      <c r="BN964" s="126"/>
      <c r="BO964" s="126"/>
      <c r="BP964" s="126"/>
      <c r="BQ964" s="126"/>
      <c r="BR964" s="126"/>
      <c r="BS964" s="126"/>
      <c r="BT964" s="126"/>
      <c r="BU964" s="126"/>
      <c r="BV964" s="126"/>
      <c r="BW964" s="126"/>
      <c r="BX964" s="126"/>
      <c r="BY964" s="126"/>
      <c r="BZ964" s="126"/>
      <c r="CA964" s="126"/>
      <c r="CB964" s="126"/>
      <c r="CC964" s="126"/>
      <c r="CD964" s="126"/>
      <c r="CE964" s="126"/>
      <c r="CF964" s="126"/>
      <c r="CG964" s="126"/>
      <c r="CH964" s="126"/>
      <c r="CI964" s="126"/>
      <c r="CJ964" s="126"/>
      <c r="CK964" s="126"/>
    </row>
    <row r="965" spans="1:89" ht="9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  <c r="BC965" s="126"/>
      <c r="BD965" s="126"/>
      <c r="BE965" s="126"/>
      <c r="BF965" s="126"/>
      <c r="BG965" s="126"/>
      <c r="BH965" s="126"/>
      <c r="BI965" s="126"/>
      <c r="BJ965" s="126"/>
      <c r="BK965" s="126"/>
      <c r="BL965" s="126"/>
      <c r="BM965" s="126"/>
      <c r="BN965" s="126"/>
      <c r="BO965" s="126"/>
      <c r="BP965" s="126"/>
      <c r="BQ965" s="126"/>
      <c r="BR965" s="126"/>
      <c r="BS965" s="126"/>
      <c r="BT965" s="126"/>
      <c r="BU965" s="126"/>
      <c r="BV965" s="126"/>
      <c r="BW965" s="126"/>
      <c r="BX965" s="126"/>
      <c r="BY965" s="126"/>
      <c r="BZ965" s="126"/>
      <c r="CA965" s="126"/>
      <c r="CB965" s="126"/>
      <c r="CC965" s="126"/>
      <c r="CD965" s="126"/>
      <c r="CE965" s="126"/>
      <c r="CF965" s="126"/>
      <c r="CG965" s="126"/>
      <c r="CH965" s="126"/>
      <c r="CI965" s="126"/>
      <c r="CJ965" s="126"/>
      <c r="CK965" s="126"/>
    </row>
    <row r="966" spans="1:89" ht="9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  <c r="BC966" s="126"/>
      <c r="BD966" s="126"/>
      <c r="BE966" s="126"/>
      <c r="BF966" s="126"/>
      <c r="BG966" s="126"/>
      <c r="BH966" s="126"/>
      <c r="BI966" s="126"/>
      <c r="BJ966" s="126"/>
      <c r="BK966" s="126"/>
      <c r="BL966" s="126"/>
      <c r="BM966" s="126"/>
      <c r="BN966" s="126"/>
      <c r="BO966" s="126"/>
      <c r="BP966" s="126"/>
      <c r="BQ966" s="126"/>
      <c r="BR966" s="126"/>
      <c r="BS966" s="126"/>
      <c r="BT966" s="126"/>
      <c r="BU966" s="126"/>
      <c r="BV966" s="126"/>
      <c r="BW966" s="126"/>
      <c r="BX966" s="126"/>
      <c r="BY966" s="126"/>
      <c r="BZ966" s="126"/>
      <c r="CA966" s="126"/>
      <c r="CB966" s="126"/>
      <c r="CC966" s="126"/>
      <c r="CD966" s="126"/>
      <c r="CE966" s="126"/>
      <c r="CF966" s="126"/>
      <c r="CG966" s="126"/>
      <c r="CH966" s="126"/>
      <c r="CI966" s="126"/>
      <c r="CJ966" s="126"/>
      <c r="CK966" s="126"/>
    </row>
    <row r="967" spans="1:89" ht="9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  <c r="BC967" s="126"/>
      <c r="BD967" s="126"/>
      <c r="BE967" s="126"/>
      <c r="BF967" s="126"/>
      <c r="BG967" s="126"/>
      <c r="BH967" s="126"/>
      <c r="BI967" s="126"/>
      <c r="BJ967" s="126"/>
      <c r="BK967" s="126"/>
      <c r="BL967" s="126"/>
      <c r="BM967" s="126"/>
      <c r="BN967" s="126"/>
      <c r="BO967" s="126"/>
      <c r="BP967" s="126"/>
      <c r="BQ967" s="126"/>
      <c r="BR967" s="126"/>
      <c r="BS967" s="126"/>
      <c r="BT967" s="126"/>
      <c r="BU967" s="126"/>
      <c r="BV967" s="126"/>
      <c r="BW967" s="126"/>
      <c r="BX967" s="126"/>
      <c r="BY967" s="126"/>
      <c r="BZ967" s="126"/>
      <c r="CA967" s="126"/>
      <c r="CB967" s="126"/>
      <c r="CC967" s="126"/>
      <c r="CD967" s="126"/>
      <c r="CE967" s="126"/>
      <c r="CF967" s="126"/>
      <c r="CG967" s="126"/>
      <c r="CH967" s="126"/>
      <c r="CI967" s="126"/>
      <c r="CJ967" s="126"/>
      <c r="CK967" s="126"/>
    </row>
    <row r="968" spans="1:89" ht="9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  <c r="BC968" s="126"/>
      <c r="BD968" s="126"/>
      <c r="BE968" s="126"/>
      <c r="BF968" s="126"/>
      <c r="BG968" s="126"/>
      <c r="BH968" s="126"/>
      <c r="BI968" s="126"/>
      <c r="BJ968" s="126"/>
      <c r="BK968" s="126"/>
      <c r="BL968" s="126"/>
      <c r="BM968" s="126"/>
      <c r="BN968" s="126"/>
      <c r="BO968" s="126"/>
      <c r="BP968" s="126"/>
      <c r="BQ968" s="126"/>
      <c r="BR968" s="126"/>
      <c r="BS968" s="126"/>
      <c r="BT968" s="126"/>
      <c r="BU968" s="126"/>
      <c r="BV968" s="126"/>
      <c r="BW968" s="126"/>
      <c r="BX968" s="126"/>
      <c r="BY968" s="126"/>
      <c r="BZ968" s="126"/>
      <c r="CA968" s="126"/>
      <c r="CB968" s="126"/>
      <c r="CC968" s="126"/>
      <c r="CD968" s="126"/>
      <c r="CE968" s="126"/>
      <c r="CF968" s="126"/>
      <c r="CG968" s="126"/>
      <c r="CH968" s="126"/>
      <c r="CI968" s="126"/>
      <c r="CJ968" s="126"/>
      <c r="CK968" s="126"/>
    </row>
    <row r="969" spans="1:89" ht="9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  <c r="BC969" s="126"/>
      <c r="BD969" s="126"/>
      <c r="BE969" s="126"/>
      <c r="BF969" s="126"/>
      <c r="BG969" s="126"/>
      <c r="BH969" s="126"/>
      <c r="BI969" s="126"/>
      <c r="BJ969" s="126"/>
      <c r="BK969" s="126"/>
      <c r="BL969" s="126"/>
      <c r="BM969" s="126"/>
      <c r="BN969" s="126"/>
      <c r="BO969" s="126"/>
      <c r="BP969" s="126"/>
      <c r="BQ969" s="126"/>
      <c r="BR969" s="126"/>
      <c r="BS969" s="126"/>
      <c r="BT969" s="126"/>
      <c r="BU969" s="126"/>
      <c r="BV969" s="126"/>
      <c r="BW969" s="126"/>
      <c r="BX969" s="126"/>
      <c r="BY969" s="126"/>
      <c r="BZ969" s="126"/>
      <c r="CA969" s="126"/>
      <c r="CB969" s="126"/>
      <c r="CC969" s="126"/>
      <c r="CD969" s="126"/>
      <c r="CE969" s="126"/>
      <c r="CF969" s="126"/>
      <c r="CG969" s="126"/>
      <c r="CH969" s="126"/>
      <c r="CI969" s="126"/>
      <c r="CJ969" s="126"/>
      <c r="CK969" s="126"/>
    </row>
    <row r="970" spans="1:89" ht="9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  <c r="BC970" s="126"/>
      <c r="BD970" s="126"/>
      <c r="BE970" s="126"/>
      <c r="BF970" s="126"/>
      <c r="BG970" s="126"/>
      <c r="BH970" s="126"/>
      <c r="BI970" s="126"/>
      <c r="BJ970" s="126"/>
      <c r="BK970" s="126"/>
      <c r="BL970" s="126"/>
      <c r="BM970" s="126"/>
      <c r="BN970" s="126"/>
      <c r="BO970" s="126"/>
      <c r="BP970" s="126"/>
      <c r="BQ970" s="126"/>
      <c r="BR970" s="126"/>
      <c r="BS970" s="126"/>
      <c r="BT970" s="126"/>
      <c r="BU970" s="126"/>
      <c r="BV970" s="126"/>
      <c r="BW970" s="126"/>
      <c r="BX970" s="126"/>
      <c r="BY970" s="126"/>
      <c r="BZ970" s="126"/>
      <c r="CA970" s="126"/>
      <c r="CB970" s="126"/>
      <c r="CC970" s="126"/>
      <c r="CD970" s="126"/>
      <c r="CE970" s="126"/>
      <c r="CF970" s="126"/>
      <c r="CG970" s="126"/>
      <c r="CH970" s="126"/>
      <c r="CI970" s="126"/>
      <c r="CJ970" s="126"/>
      <c r="CK970" s="126"/>
    </row>
    <row r="971" spans="1:89" ht="9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  <c r="BC971" s="126"/>
      <c r="BD971" s="126"/>
      <c r="BE971" s="126"/>
      <c r="BF971" s="126"/>
      <c r="BG971" s="126"/>
      <c r="BH971" s="126"/>
      <c r="BI971" s="126"/>
      <c r="BJ971" s="126"/>
      <c r="BK971" s="126"/>
      <c r="BL971" s="126"/>
      <c r="BM971" s="126"/>
      <c r="BN971" s="126"/>
      <c r="BO971" s="126"/>
      <c r="BP971" s="126"/>
      <c r="BQ971" s="126"/>
      <c r="BR971" s="126"/>
      <c r="BS971" s="126"/>
      <c r="BT971" s="126"/>
      <c r="BU971" s="126"/>
      <c r="BV971" s="126"/>
      <c r="BW971" s="126"/>
      <c r="BX971" s="126"/>
      <c r="BY971" s="126"/>
      <c r="BZ971" s="126"/>
      <c r="CA971" s="126"/>
      <c r="CB971" s="126"/>
      <c r="CC971" s="126"/>
      <c r="CD971" s="126"/>
      <c r="CE971" s="126"/>
      <c r="CF971" s="126"/>
      <c r="CG971" s="126"/>
      <c r="CH971" s="126"/>
      <c r="CI971" s="126"/>
      <c r="CJ971" s="126"/>
      <c r="CK971" s="126"/>
    </row>
    <row r="972" spans="1:89" ht="9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  <c r="BC972" s="126"/>
      <c r="BD972" s="126"/>
      <c r="BE972" s="126"/>
      <c r="BF972" s="126"/>
      <c r="BG972" s="126"/>
      <c r="BH972" s="126"/>
      <c r="BI972" s="126"/>
      <c r="BJ972" s="126"/>
      <c r="BK972" s="126"/>
      <c r="BL972" s="126"/>
      <c r="BM972" s="126"/>
      <c r="BN972" s="126"/>
      <c r="BO972" s="126"/>
      <c r="BP972" s="126"/>
      <c r="BQ972" s="126"/>
      <c r="BR972" s="126"/>
      <c r="BS972" s="126"/>
      <c r="BT972" s="126"/>
      <c r="BU972" s="126"/>
      <c r="BV972" s="126"/>
      <c r="BW972" s="126"/>
      <c r="BX972" s="126"/>
      <c r="BY972" s="126"/>
      <c r="BZ972" s="126"/>
      <c r="CA972" s="126"/>
      <c r="CB972" s="126"/>
      <c r="CC972" s="126"/>
      <c r="CD972" s="126"/>
      <c r="CE972" s="126"/>
      <c r="CF972" s="126"/>
      <c r="CG972" s="126"/>
      <c r="CH972" s="126"/>
      <c r="CI972" s="126"/>
      <c r="CJ972" s="126"/>
      <c r="CK972" s="126"/>
    </row>
    <row r="973" spans="1:89" ht="9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  <c r="BC973" s="126"/>
      <c r="BD973" s="126"/>
      <c r="BE973" s="126"/>
      <c r="BF973" s="126"/>
      <c r="BG973" s="126"/>
      <c r="BH973" s="126"/>
      <c r="BI973" s="126"/>
      <c r="BJ973" s="126"/>
      <c r="BK973" s="126"/>
      <c r="BL973" s="126"/>
      <c r="BM973" s="126"/>
      <c r="BN973" s="126"/>
      <c r="BO973" s="126"/>
      <c r="BP973" s="126"/>
      <c r="BQ973" s="126"/>
      <c r="BR973" s="126"/>
      <c r="BS973" s="126"/>
      <c r="BT973" s="126"/>
      <c r="BU973" s="126"/>
      <c r="BV973" s="126"/>
      <c r="BW973" s="126"/>
      <c r="BX973" s="126"/>
      <c r="BY973" s="126"/>
      <c r="BZ973" s="126"/>
      <c r="CA973" s="126"/>
      <c r="CB973" s="126"/>
      <c r="CC973" s="126"/>
      <c r="CD973" s="126"/>
      <c r="CE973" s="126"/>
      <c r="CF973" s="126"/>
      <c r="CG973" s="126"/>
      <c r="CH973" s="126"/>
      <c r="CI973" s="126"/>
      <c r="CJ973" s="126"/>
      <c r="CK973" s="126"/>
    </row>
    <row r="974" spans="1:89" ht="9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  <c r="BC974" s="126"/>
      <c r="BD974" s="126"/>
      <c r="BE974" s="126"/>
      <c r="BF974" s="126"/>
      <c r="BG974" s="126"/>
      <c r="BH974" s="126"/>
      <c r="BI974" s="126"/>
      <c r="BJ974" s="126"/>
      <c r="BK974" s="126"/>
      <c r="BL974" s="126"/>
      <c r="BM974" s="126"/>
      <c r="BN974" s="126"/>
      <c r="BO974" s="126"/>
      <c r="BP974" s="126"/>
      <c r="BQ974" s="126"/>
      <c r="BR974" s="126"/>
      <c r="BS974" s="126"/>
      <c r="BT974" s="126"/>
      <c r="BU974" s="126"/>
      <c r="BV974" s="126"/>
      <c r="BW974" s="126"/>
      <c r="BX974" s="126"/>
      <c r="BY974" s="126"/>
      <c r="BZ974" s="126"/>
      <c r="CA974" s="126"/>
      <c r="CB974" s="126"/>
      <c r="CC974" s="126"/>
      <c r="CD974" s="126"/>
      <c r="CE974" s="126"/>
      <c r="CF974" s="126"/>
      <c r="CG974" s="126"/>
      <c r="CH974" s="126"/>
      <c r="CI974" s="126"/>
      <c r="CJ974" s="126"/>
      <c r="CK974" s="126"/>
    </row>
    <row r="975" spans="1:89" ht="9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  <c r="BC975" s="126"/>
      <c r="BD975" s="126"/>
      <c r="BE975" s="126"/>
      <c r="BF975" s="126"/>
      <c r="BG975" s="126"/>
      <c r="BH975" s="126"/>
      <c r="BI975" s="126"/>
      <c r="BJ975" s="126"/>
      <c r="BK975" s="126"/>
      <c r="BL975" s="126"/>
      <c r="BM975" s="126"/>
      <c r="BN975" s="126"/>
      <c r="BO975" s="126"/>
      <c r="BP975" s="126"/>
      <c r="BQ975" s="126"/>
      <c r="BR975" s="126"/>
      <c r="BS975" s="126"/>
      <c r="BT975" s="126"/>
      <c r="BU975" s="126"/>
      <c r="BV975" s="126"/>
      <c r="BW975" s="126"/>
      <c r="BX975" s="126"/>
      <c r="BY975" s="126"/>
      <c r="BZ975" s="126"/>
      <c r="CA975" s="126"/>
      <c r="CB975" s="126"/>
      <c r="CC975" s="126"/>
      <c r="CD975" s="126"/>
      <c r="CE975" s="126"/>
      <c r="CF975" s="126"/>
      <c r="CG975" s="126"/>
      <c r="CH975" s="126"/>
      <c r="CI975" s="126"/>
      <c r="CJ975" s="126"/>
      <c r="CK975" s="126"/>
    </row>
    <row r="976" spans="1:89" ht="9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  <c r="BC976" s="126"/>
      <c r="BD976" s="126"/>
      <c r="BE976" s="126"/>
      <c r="BF976" s="126"/>
      <c r="BG976" s="126"/>
      <c r="BH976" s="126"/>
      <c r="BI976" s="126"/>
      <c r="BJ976" s="126"/>
      <c r="BK976" s="126"/>
      <c r="BL976" s="126"/>
      <c r="BM976" s="126"/>
      <c r="BN976" s="126"/>
      <c r="BO976" s="126"/>
      <c r="BP976" s="126"/>
      <c r="BQ976" s="126"/>
      <c r="BR976" s="126"/>
      <c r="BS976" s="126"/>
      <c r="BT976" s="126"/>
      <c r="BU976" s="126"/>
      <c r="BV976" s="126"/>
      <c r="BW976" s="126"/>
      <c r="BX976" s="126"/>
      <c r="BY976" s="126"/>
      <c r="BZ976" s="126"/>
      <c r="CA976" s="126"/>
      <c r="CB976" s="126"/>
      <c r="CC976" s="126"/>
      <c r="CD976" s="126"/>
      <c r="CE976" s="126"/>
      <c r="CF976" s="126"/>
      <c r="CG976" s="126"/>
      <c r="CH976" s="126"/>
      <c r="CI976" s="126"/>
      <c r="CJ976" s="126"/>
      <c r="CK976" s="126"/>
    </row>
    <row r="977" spans="1:89" ht="9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  <c r="BC977" s="126"/>
      <c r="BD977" s="126"/>
      <c r="BE977" s="126"/>
      <c r="BF977" s="126"/>
      <c r="BG977" s="126"/>
      <c r="BH977" s="126"/>
      <c r="BI977" s="126"/>
      <c r="BJ977" s="126"/>
      <c r="BK977" s="126"/>
      <c r="BL977" s="126"/>
      <c r="BM977" s="126"/>
      <c r="BN977" s="126"/>
      <c r="BO977" s="126"/>
      <c r="BP977" s="126"/>
      <c r="BQ977" s="126"/>
      <c r="BR977" s="126"/>
      <c r="BS977" s="126"/>
      <c r="BT977" s="126"/>
      <c r="BU977" s="126"/>
      <c r="BV977" s="126"/>
      <c r="BW977" s="126"/>
      <c r="BX977" s="126"/>
      <c r="BY977" s="126"/>
      <c r="BZ977" s="126"/>
      <c r="CA977" s="126"/>
      <c r="CB977" s="126"/>
      <c r="CC977" s="126"/>
      <c r="CD977" s="126"/>
      <c r="CE977" s="126"/>
      <c r="CF977" s="126"/>
      <c r="CG977" s="126"/>
      <c r="CH977" s="126"/>
      <c r="CI977" s="126"/>
      <c r="CJ977" s="126"/>
      <c r="CK977" s="126"/>
    </row>
    <row r="978" spans="1:89" ht="9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  <c r="BC978" s="126"/>
      <c r="BD978" s="126"/>
      <c r="BE978" s="126"/>
      <c r="BF978" s="126"/>
      <c r="BG978" s="126"/>
      <c r="BH978" s="126"/>
      <c r="BI978" s="126"/>
      <c r="BJ978" s="126"/>
      <c r="BK978" s="126"/>
      <c r="BL978" s="126"/>
      <c r="BM978" s="126"/>
      <c r="BN978" s="126"/>
      <c r="BO978" s="126"/>
      <c r="BP978" s="126"/>
      <c r="BQ978" s="126"/>
      <c r="BR978" s="126"/>
      <c r="BS978" s="126"/>
      <c r="BT978" s="126"/>
      <c r="BU978" s="126"/>
      <c r="BV978" s="126"/>
      <c r="BW978" s="126"/>
      <c r="BX978" s="126"/>
      <c r="BY978" s="126"/>
      <c r="BZ978" s="126"/>
      <c r="CA978" s="126"/>
      <c r="CB978" s="126"/>
      <c r="CC978" s="126"/>
      <c r="CD978" s="126"/>
      <c r="CE978" s="126"/>
      <c r="CF978" s="126"/>
      <c r="CG978" s="126"/>
      <c r="CH978" s="126"/>
      <c r="CI978" s="126"/>
      <c r="CJ978" s="126"/>
      <c r="CK978" s="126"/>
    </row>
    <row r="979" spans="1:89" ht="9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  <c r="BC979" s="126"/>
      <c r="BD979" s="126"/>
      <c r="BE979" s="126"/>
      <c r="BF979" s="126"/>
      <c r="BG979" s="126"/>
      <c r="BH979" s="126"/>
      <c r="BI979" s="126"/>
      <c r="BJ979" s="126"/>
      <c r="BK979" s="126"/>
      <c r="BL979" s="126"/>
      <c r="BM979" s="126"/>
      <c r="BN979" s="126"/>
      <c r="BO979" s="126"/>
      <c r="BP979" s="126"/>
      <c r="BQ979" s="126"/>
      <c r="BR979" s="126"/>
      <c r="BS979" s="126"/>
      <c r="BT979" s="126"/>
      <c r="BU979" s="126"/>
      <c r="BV979" s="126"/>
      <c r="BW979" s="126"/>
      <c r="BX979" s="126"/>
      <c r="BY979" s="126"/>
      <c r="BZ979" s="126"/>
      <c r="CA979" s="126"/>
      <c r="CB979" s="126"/>
      <c r="CC979" s="126"/>
      <c r="CD979" s="126"/>
      <c r="CE979" s="126"/>
      <c r="CF979" s="126"/>
      <c r="CG979" s="126"/>
      <c r="CH979" s="126"/>
      <c r="CI979" s="126"/>
      <c r="CJ979" s="126"/>
      <c r="CK979" s="126"/>
    </row>
    <row r="980" spans="1:89" ht="9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  <c r="BC980" s="126"/>
      <c r="BD980" s="126"/>
      <c r="BE980" s="126"/>
      <c r="BF980" s="126"/>
      <c r="BG980" s="126"/>
      <c r="BH980" s="126"/>
      <c r="BI980" s="126"/>
      <c r="BJ980" s="126"/>
      <c r="BK980" s="126"/>
      <c r="BL980" s="126"/>
      <c r="BM980" s="126"/>
      <c r="BN980" s="126"/>
      <c r="BO980" s="126"/>
      <c r="BP980" s="126"/>
      <c r="BQ980" s="126"/>
      <c r="BR980" s="126"/>
      <c r="BS980" s="126"/>
      <c r="BT980" s="126"/>
      <c r="BU980" s="126"/>
      <c r="BV980" s="126"/>
      <c r="BW980" s="126"/>
      <c r="BX980" s="126"/>
      <c r="BY980" s="126"/>
      <c r="BZ980" s="126"/>
      <c r="CA980" s="126"/>
      <c r="CB980" s="126"/>
      <c r="CC980" s="126"/>
      <c r="CD980" s="126"/>
      <c r="CE980" s="126"/>
      <c r="CF980" s="126"/>
      <c r="CG980" s="126"/>
      <c r="CH980" s="126"/>
      <c r="CI980" s="126"/>
      <c r="CJ980" s="126"/>
      <c r="CK980" s="126"/>
    </row>
    <row r="981" spans="1:89" ht="9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  <c r="BC981" s="126"/>
      <c r="BD981" s="126"/>
      <c r="BE981" s="126"/>
      <c r="BF981" s="126"/>
      <c r="BG981" s="126"/>
      <c r="BH981" s="126"/>
      <c r="BI981" s="126"/>
      <c r="BJ981" s="126"/>
      <c r="BK981" s="126"/>
      <c r="BL981" s="126"/>
      <c r="BM981" s="126"/>
      <c r="BN981" s="126"/>
      <c r="BO981" s="126"/>
      <c r="BP981" s="126"/>
      <c r="BQ981" s="126"/>
      <c r="BR981" s="126"/>
      <c r="BS981" s="126"/>
      <c r="BT981" s="126"/>
      <c r="BU981" s="126"/>
      <c r="BV981" s="126"/>
      <c r="BW981" s="126"/>
      <c r="BX981" s="126"/>
      <c r="BY981" s="126"/>
      <c r="BZ981" s="126"/>
      <c r="CA981" s="126"/>
      <c r="CB981" s="126"/>
      <c r="CC981" s="126"/>
      <c r="CD981" s="126"/>
      <c r="CE981" s="126"/>
      <c r="CF981" s="126"/>
      <c r="CG981" s="126"/>
      <c r="CH981" s="126"/>
      <c r="CI981" s="126"/>
      <c r="CJ981" s="126"/>
      <c r="CK981" s="126"/>
    </row>
    <row r="982" spans="1:89" ht="9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  <c r="BC982" s="126"/>
      <c r="BD982" s="126"/>
      <c r="BE982" s="126"/>
      <c r="BF982" s="126"/>
      <c r="BG982" s="126"/>
      <c r="BH982" s="126"/>
      <c r="BI982" s="126"/>
      <c r="BJ982" s="126"/>
      <c r="BK982" s="126"/>
      <c r="BL982" s="126"/>
      <c r="BM982" s="126"/>
      <c r="BN982" s="126"/>
      <c r="BO982" s="126"/>
      <c r="BP982" s="126"/>
      <c r="BQ982" s="126"/>
      <c r="BR982" s="126"/>
      <c r="BS982" s="126"/>
      <c r="BT982" s="126"/>
      <c r="BU982" s="126"/>
      <c r="BV982" s="126"/>
      <c r="BW982" s="126"/>
      <c r="BX982" s="126"/>
      <c r="BY982" s="126"/>
      <c r="BZ982" s="126"/>
      <c r="CA982" s="126"/>
      <c r="CB982" s="126"/>
      <c r="CC982" s="126"/>
      <c r="CD982" s="126"/>
      <c r="CE982" s="126"/>
      <c r="CF982" s="126"/>
      <c r="CG982" s="126"/>
      <c r="CH982" s="126"/>
      <c r="CI982" s="126"/>
      <c r="CJ982" s="126"/>
      <c r="CK982" s="126"/>
    </row>
    <row r="983" spans="1:89" ht="9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  <c r="BC983" s="126"/>
      <c r="BD983" s="126"/>
      <c r="BE983" s="126"/>
      <c r="BF983" s="126"/>
      <c r="BG983" s="126"/>
      <c r="BH983" s="126"/>
      <c r="BI983" s="126"/>
      <c r="BJ983" s="126"/>
      <c r="BK983" s="126"/>
      <c r="BL983" s="126"/>
      <c r="BM983" s="126"/>
      <c r="BN983" s="126"/>
      <c r="BO983" s="126"/>
      <c r="BP983" s="126"/>
      <c r="BQ983" s="126"/>
      <c r="BR983" s="126"/>
      <c r="BS983" s="126"/>
      <c r="BT983" s="126"/>
      <c r="BU983" s="126"/>
      <c r="BV983" s="126"/>
      <c r="BW983" s="126"/>
      <c r="BX983" s="126"/>
      <c r="BY983" s="126"/>
      <c r="BZ983" s="126"/>
      <c r="CA983" s="126"/>
      <c r="CB983" s="126"/>
      <c r="CC983" s="126"/>
      <c r="CD983" s="126"/>
      <c r="CE983" s="126"/>
      <c r="CF983" s="126"/>
      <c r="CG983" s="126"/>
      <c r="CH983" s="126"/>
      <c r="CI983" s="126"/>
      <c r="CJ983" s="126"/>
      <c r="CK983" s="126"/>
    </row>
    <row r="984" spans="1:89" ht="9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  <c r="BC984" s="126"/>
      <c r="BD984" s="126"/>
      <c r="BE984" s="126"/>
      <c r="BF984" s="126"/>
      <c r="BG984" s="126"/>
      <c r="BH984" s="126"/>
      <c r="BI984" s="126"/>
      <c r="BJ984" s="126"/>
      <c r="BK984" s="126"/>
      <c r="BL984" s="126"/>
      <c r="BM984" s="126"/>
      <c r="BN984" s="126"/>
      <c r="BO984" s="126"/>
      <c r="BP984" s="126"/>
      <c r="BQ984" s="126"/>
      <c r="BR984" s="126"/>
      <c r="BS984" s="126"/>
      <c r="BT984" s="126"/>
      <c r="BU984" s="126"/>
      <c r="BV984" s="126"/>
      <c r="BW984" s="126"/>
      <c r="BX984" s="126"/>
      <c r="BY984" s="126"/>
      <c r="BZ984" s="126"/>
      <c r="CA984" s="126"/>
      <c r="CB984" s="126"/>
      <c r="CC984" s="126"/>
      <c r="CD984" s="126"/>
      <c r="CE984" s="126"/>
      <c r="CF984" s="126"/>
      <c r="CG984" s="126"/>
      <c r="CH984" s="126"/>
      <c r="CI984" s="126"/>
      <c r="CJ984" s="126"/>
      <c r="CK984" s="126"/>
    </row>
    <row r="985" spans="1:89" ht="9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  <c r="BC985" s="126"/>
      <c r="BD985" s="126"/>
      <c r="BE985" s="126"/>
      <c r="BF985" s="126"/>
      <c r="BG985" s="126"/>
      <c r="BH985" s="126"/>
      <c r="BI985" s="126"/>
      <c r="BJ985" s="126"/>
      <c r="BK985" s="126"/>
      <c r="BL985" s="126"/>
      <c r="BM985" s="126"/>
      <c r="BN985" s="126"/>
      <c r="BO985" s="126"/>
      <c r="BP985" s="126"/>
      <c r="BQ985" s="126"/>
      <c r="BR985" s="126"/>
      <c r="BS985" s="126"/>
      <c r="BT985" s="126"/>
      <c r="BU985" s="126"/>
      <c r="BV985" s="126"/>
      <c r="BW985" s="126"/>
      <c r="BX985" s="126"/>
      <c r="BY985" s="126"/>
      <c r="BZ985" s="126"/>
      <c r="CA985" s="126"/>
      <c r="CB985" s="126"/>
      <c r="CC985" s="126"/>
      <c r="CD985" s="126"/>
      <c r="CE985" s="126"/>
      <c r="CF985" s="126"/>
      <c r="CG985" s="126"/>
      <c r="CH985" s="126"/>
      <c r="CI985" s="126"/>
      <c r="CJ985" s="126"/>
      <c r="CK985" s="126"/>
    </row>
    <row r="986" spans="1:89" ht="9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  <c r="BC986" s="126"/>
      <c r="BD986" s="126"/>
      <c r="BE986" s="126"/>
      <c r="BF986" s="126"/>
      <c r="BG986" s="126"/>
      <c r="BH986" s="126"/>
      <c r="BI986" s="126"/>
      <c r="BJ986" s="126"/>
      <c r="BK986" s="126"/>
      <c r="BL986" s="126"/>
      <c r="BM986" s="126"/>
      <c r="BN986" s="126"/>
      <c r="BO986" s="126"/>
      <c r="BP986" s="126"/>
      <c r="BQ986" s="126"/>
      <c r="BR986" s="126"/>
      <c r="BS986" s="126"/>
      <c r="BT986" s="126"/>
      <c r="BU986" s="126"/>
      <c r="BV986" s="126"/>
      <c r="BW986" s="126"/>
      <c r="BX986" s="126"/>
      <c r="BY986" s="126"/>
      <c r="BZ986" s="126"/>
      <c r="CA986" s="126"/>
      <c r="CB986" s="126"/>
      <c r="CC986" s="126"/>
      <c r="CD986" s="126"/>
      <c r="CE986" s="126"/>
      <c r="CF986" s="126"/>
      <c r="CG986" s="126"/>
      <c r="CH986" s="126"/>
      <c r="CI986" s="126"/>
      <c r="CJ986" s="126"/>
      <c r="CK986" s="126"/>
    </row>
    <row r="987" spans="1:89" ht="9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  <c r="BC987" s="126"/>
      <c r="BD987" s="126"/>
      <c r="BE987" s="126"/>
      <c r="BF987" s="126"/>
      <c r="BG987" s="126"/>
      <c r="BH987" s="126"/>
      <c r="BI987" s="126"/>
      <c r="BJ987" s="126"/>
      <c r="BK987" s="126"/>
      <c r="BL987" s="126"/>
      <c r="BM987" s="126"/>
      <c r="BN987" s="126"/>
      <c r="BO987" s="126"/>
      <c r="BP987" s="126"/>
      <c r="BQ987" s="126"/>
      <c r="BR987" s="126"/>
      <c r="BS987" s="126"/>
      <c r="BT987" s="126"/>
      <c r="BU987" s="126"/>
      <c r="BV987" s="126"/>
      <c r="BW987" s="126"/>
      <c r="BX987" s="126"/>
      <c r="BY987" s="126"/>
      <c r="BZ987" s="126"/>
      <c r="CA987" s="126"/>
      <c r="CB987" s="126"/>
      <c r="CC987" s="126"/>
      <c r="CD987" s="126"/>
      <c r="CE987" s="126"/>
      <c r="CF987" s="126"/>
      <c r="CG987" s="126"/>
      <c r="CH987" s="126"/>
      <c r="CI987" s="126"/>
      <c r="CJ987" s="126"/>
      <c r="CK987" s="126"/>
    </row>
    <row r="988" spans="1:89" ht="9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  <c r="BC988" s="126"/>
      <c r="BD988" s="126"/>
      <c r="BE988" s="126"/>
      <c r="BF988" s="126"/>
      <c r="BG988" s="126"/>
      <c r="BH988" s="126"/>
      <c r="BI988" s="126"/>
      <c r="BJ988" s="126"/>
      <c r="BK988" s="126"/>
      <c r="BL988" s="126"/>
      <c r="BM988" s="126"/>
      <c r="BN988" s="126"/>
      <c r="BO988" s="126"/>
      <c r="BP988" s="126"/>
      <c r="BQ988" s="126"/>
      <c r="BR988" s="126"/>
      <c r="BS988" s="126"/>
      <c r="BT988" s="126"/>
      <c r="BU988" s="126"/>
      <c r="BV988" s="126"/>
      <c r="BW988" s="126"/>
      <c r="BX988" s="126"/>
      <c r="BY988" s="126"/>
      <c r="BZ988" s="126"/>
      <c r="CA988" s="126"/>
      <c r="CB988" s="126"/>
      <c r="CC988" s="126"/>
      <c r="CD988" s="126"/>
      <c r="CE988" s="126"/>
      <c r="CF988" s="126"/>
      <c r="CG988" s="126"/>
      <c r="CH988" s="126"/>
      <c r="CI988" s="126"/>
      <c r="CJ988" s="126"/>
      <c r="CK988" s="126"/>
    </row>
    <row r="989" spans="1:89" ht="9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  <c r="BC989" s="126"/>
      <c r="BD989" s="126"/>
      <c r="BE989" s="126"/>
      <c r="BF989" s="126"/>
      <c r="BG989" s="126"/>
      <c r="BH989" s="126"/>
      <c r="BI989" s="126"/>
      <c r="BJ989" s="126"/>
      <c r="BK989" s="126"/>
      <c r="BL989" s="126"/>
      <c r="BM989" s="126"/>
      <c r="BN989" s="126"/>
      <c r="BO989" s="126"/>
      <c r="BP989" s="126"/>
      <c r="BQ989" s="126"/>
      <c r="BR989" s="126"/>
      <c r="BS989" s="126"/>
      <c r="BT989" s="126"/>
      <c r="BU989" s="126"/>
      <c r="BV989" s="126"/>
      <c r="BW989" s="126"/>
      <c r="BX989" s="126"/>
      <c r="BY989" s="126"/>
      <c r="BZ989" s="126"/>
      <c r="CA989" s="126"/>
      <c r="CB989" s="126"/>
      <c r="CC989" s="126"/>
      <c r="CD989" s="126"/>
      <c r="CE989" s="126"/>
      <c r="CF989" s="126"/>
      <c r="CG989" s="126"/>
      <c r="CH989" s="126"/>
      <c r="CI989" s="126"/>
      <c r="CJ989" s="126"/>
      <c r="CK989" s="126"/>
    </row>
    <row r="990" spans="1:89" ht="9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  <c r="BC990" s="126"/>
      <c r="BD990" s="126"/>
      <c r="BE990" s="126"/>
      <c r="BF990" s="126"/>
      <c r="BG990" s="126"/>
      <c r="BH990" s="126"/>
      <c r="BI990" s="126"/>
      <c r="BJ990" s="126"/>
      <c r="BK990" s="126"/>
      <c r="BL990" s="126"/>
      <c r="BM990" s="126"/>
      <c r="BN990" s="126"/>
      <c r="BO990" s="126"/>
      <c r="BP990" s="126"/>
      <c r="BQ990" s="126"/>
      <c r="BR990" s="126"/>
      <c r="BS990" s="126"/>
      <c r="BT990" s="126"/>
      <c r="BU990" s="126"/>
      <c r="BV990" s="126"/>
      <c r="BW990" s="126"/>
      <c r="BX990" s="126"/>
      <c r="BY990" s="126"/>
      <c r="BZ990" s="126"/>
      <c r="CA990" s="126"/>
      <c r="CB990" s="126"/>
      <c r="CC990" s="126"/>
      <c r="CD990" s="126"/>
      <c r="CE990" s="126"/>
      <c r="CF990" s="126"/>
      <c r="CG990" s="126"/>
      <c r="CH990" s="126"/>
      <c r="CI990" s="126"/>
      <c r="CJ990" s="126"/>
      <c r="CK990" s="126"/>
    </row>
    <row r="991" spans="1:89" ht="9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  <c r="BC991" s="126"/>
      <c r="BD991" s="126"/>
      <c r="BE991" s="126"/>
      <c r="BF991" s="126"/>
      <c r="BG991" s="126"/>
      <c r="BH991" s="126"/>
      <c r="BI991" s="126"/>
      <c r="BJ991" s="126"/>
      <c r="BK991" s="126"/>
      <c r="BL991" s="126"/>
      <c r="BM991" s="126"/>
      <c r="BN991" s="126"/>
      <c r="BO991" s="126"/>
      <c r="BP991" s="126"/>
      <c r="BQ991" s="126"/>
      <c r="BR991" s="126"/>
      <c r="BS991" s="126"/>
      <c r="BT991" s="126"/>
      <c r="BU991" s="126"/>
      <c r="BV991" s="126"/>
      <c r="BW991" s="126"/>
      <c r="BX991" s="126"/>
      <c r="BY991" s="126"/>
      <c r="BZ991" s="126"/>
      <c r="CA991" s="126"/>
      <c r="CB991" s="126"/>
      <c r="CC991" s="126"/>
      <c r="CD991" s="126"/>
      <c r="CE991" s="126"/>
      <c r="CF991" s="126"/>
      <c r="CG991" s="126"/>
      <c r="CH991" s="126"/>
      <c r="CI991" s="126"/>
      <c r="CJ991" s="126"/>
      <c r="CK991" s="126"/>
    </row>
    <row r="992" spans="1:89" ht="9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  <c r="BC992" s="126"/>
      <c r="BD992" s="126"/>
      <c r="BE992" s="126"/>
      <c r="BF992" s="126"/>
      <c r="BG992" s="126"/>
      <c r="BH992" s="126"/>
      <c r="BI992" s="126"/>
      <c r="BJ992" s="126"/>
      <c r="BK992" s="126"/>
      <c r="BL992" s="126"/>
      <c r="BM992" s="126"/>
      <c r="BN992" s="126"/>
      <c r="BO992" s="126"/>
      <c r="BP992" s="126"/>
      <c r="BQ992" s="126"/>
      <c r="BR992" s="126"/>
      <c r="BS992" s="126"/>
      <c r="BT992" s="126"/>
      <c r="BU992" s="126"/>
      <c r="BV992" s="126"/>
      <c r="BW992" s="126"/>
      <c r="BX992" s="126"/>
      <c r="BY992" s="126"/>
      <c r="BZ992" s="126"/>
      <c r="CA992" s="126"/>
      <c r="CB992" s="126"/>
      <c r="CC992" s="126"/>
      <c r="CD992" s="126"/>
      <c r="CE992" s="126"/>
      <c r="CF992" s="126"/>
      <c r="CG992" s="126"/>
      <c r="CH992" s="126"/>
      <c r="CI992" s="126"/>
      <c r="CJ992" s="126"/>
      <c r="CK992" s="126"/>
    </row>
    <row r="993" spans="1:89" ht="9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  <c r="BC993" s="126"/>
      <c r="BD993" s="126"/>
      <c r="BE993" s="126"/>
      <c r="BF993" s="126"/>
      <c r="BG993" s="126"/>
      <c r="BH993" s="126"/>
      <c r="BI993" s="126"/>
      <c r="BJ993" s="126"/>
      <c r="BK993" s="126"/>
      <c r="BL993" s="126"/>
      <c r="BM993" s="126"/>
      <c r="BN993" s="126"/>
      <c r="BO993" s="126"/>
      <c r="BP993" s="126"/>
      <c r="BQ993" s="126"/>
      <c r="BR993" s="126"/>
      <c r="BS993" s="126"/>
      <c r="BT993" s="126"/>
      <c r="BU993" s="126"/>
      <c r="BV993" s="126"/>
      <c r="BW993" s="126"/>
      <c r="BX993" s="126"/>
      <c r="BY993" s="126"/>
      <c r="BZ993" s="126"/>
      <c r="CA993" s="126"/>
      <c r="CB993" s="126"/>
      <c r="CC993" s="126"/>
      <c r="CD993" s="126"/>
      <c r="CE993" s="126"/>
      <c r="CF993" s="126"/>
      <c r="CG993" s="126"/>
      <c r="CH993" s="126"/>
      <c r="CI993" s="126"/>
      <c r="CJ993" s="126"/>
      <c r="CK993" s="126"/>
    </row>
    <row r="994" spans="1:89" ht="9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  <c r="BC994" s="126"/>
      <c r="BD994" s="126"/>
      <c r="BE994" s="126"/>
      <c r="BF994" s="126"/>
      <c r="BG994" s="126"/>
      <c r="BH994" s="126"/>
      <c r="BI994" s="126"/>
      <c r="BJ994" s="126"/>
      <c r="BK994" s="126"/>
      <c r="BL994" s="126"/>
      <c r="BM994" s="126"/>
      <c r="BN994" s="126"/>
      <c r="BO994" s="126"/>
      <c r="BP994" s="126"/>
      <c r="BQ994" s="126"/>
      <c r="BR994" s="126"/>
      <c r="BS994" s="126"/>
      <c r="BT994" s="126"/>
      <c r="BU994" s="126"/>
      <c r="BV994" s="126"/>
      <c r="BW994" s="126"/>
      <c r="BX994" s="126"/>
      <c r="BY994" s="126"/>
      <c r="BZ994" s="126"/>
      <c r="CA994" s="126"/>
      <c r="CB994" s="126"/>
      <c r="CC994" s="126"/>
      <c r="CD994" s="126"/>
      <c r="CE994" s="126"/>
      <c r="CF994" s="126"/>
      <c r="CG994" s="126"/>
      <c r="CH994" s="126"/>
      <c r="CI994" s="126"/>
      <c r="CJ994" s="126"/>
      <c r="CK994" s="126"/>
    </row>
    <row r="995" spans="1:89" ht="9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  <c r="BC995" s="126"/>
      <c r="BD995" s="126"/>
      <c r="BE995" s="126"/>
      <c r="BF995" s="126"/>
      <c r="BG995" s="126"/>
      <c r="BH995" s="126"/>
      <c r="BI995" s="126"/>
      <c r="BJ995" s="126"/>
      <c r="BK995" s="126"/>
      <c r="BL995" s="126"/>
      <c r="BM995" s="126"/>
      <c r="BN995" s="126"/>
      <c r="BO995" s="126"/>
      <c r="BP995" s="126"/>
      <c r="BQ995" s="126"/>
      <c r="BR995" s="126"/>
      <c r="BS995" s="126"/>
      <c r="BT995" s="126"/>
      <c r="BU995" s="126"/>
      <c r="BV995" s="126"/>
      <c r="BW995" s="126"/>
      <c r="BX995" s="126"/>
      <c r="BY995" s="126"/>
      <c r="BZ995" s="126"/>
      <c r="CA995" s="126"/>
      <c r="CB995" s="126"/>
      <c r="CC995" s="126"/>
      <c r="CD995" s="126"/>
      <c r="CE995" s="126"/>
      <c r="CF995" s="126"/>
      <c r="CG995" s="126"/>
      <c r="CH995" s="126"/>
      <c r="CI995" s="126"/>
      <c r="CJ995" s="126"/>
      <c r="CK995" s="126"/>
    </row>
    <row r="996" spans="1:89" ht="9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  <c r="BC996" s="126"/>
      <c r="BD996" s="126"/>
      <c r="BE996" s="126"/>
      <c r="BF996" s="126"/>
      <c r="BG996" s="126"/>
      <c r="BH996" s="126"/>
      <c r="BI996" s="126"/>
      <c r="BJ996" s="126"/>
      <c r="BK996" s="126"/>
      <c r="BL996" s="126"/>
      <c r="BM996" s="126"/>
      <c r="BN996" s="126"/>
      <c r="BO996" s="126"/>
      <c r="BP996" s="126"/>
      <c r="BQ996" s="126"/>
      <c r="BR996" s="126"/>
      <c r="BS996" s="126"/>
      <c r="BT996" s="126"/>
      <c r="BU996" s="126"/>
      <c r="BV996" s="126"/>
      <c r="BW996" s="126"/>
      <c r="BX996" s="126"/>
      <c r="BY996" s="126"/>
      <c r="BZ996" s="126"/>
      <c r="CA996" s="126"/>
      <c r="CB996" s="126"/>
      <c r="CC996" s="126"/>
      <c r="CD996" s="126"/>
      <c r="CE996" s="126"/>
      <c r="CF996" s="126"/>
      <c r="CG996" s="126"/>
      <c r="CH996" s="126"/>
      <c r="CI996" s="126"/>
      <c r="CJ996" s="126"/>
      <c r="CK996" s="126"/>
    </row>
    <row r="997" spans="1:89" ht="9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  <c r="BC997" s="126"/>
      <c r="BD997" s="126"/>
      <c r="BE997" s="126"/>
      <c r="BF997" s="126"/>
      <c r="BG997" s="126"/>
      <c r="BH997" s="126"/>
      <c r="BI997" s="126"/>
      <c r="BJ997" s="126"/>
      <c r="BK997" s="126"/>
      <c r="BL997" s="126"/>
      <c r="BM997" s="126"/>
      <c r="BN997" s="126"/>
      <c r="BO997" s="126"/>
      <c r="BP997" s="126"/>
      <c r="BQ997" s="126"/>
      <c r="BR997" s="126"/>
      <c r="BS997" s="126"/>
      <c r="BT997" s="126"/>
      <c r="BU997" s="126"/>
      <c r="BV997" s="126"/>
      <c r="BW997" s="126"/>
      <c r="BX997" s="126"/>
      <c r="BY997" s="126"/>
      <c r="BZ997" s="126"/>
      <c r="CA997" s="126"/>
      <c r="CB997" s="126"/>
      <c r="CC997" s="126"/>
      <c r="CD997" s="126"/>
      <c r="CE997" s="126"/>
      <c r="CF997" s="126"/>
      <c r="CG997" s="126"/>
      <c r="CH997" s="126"/>
      <c r="CI997" s="126"/>
      <c r="CJ997" s="126"/>
      <c r="CK997" s="126"/>
    </row>
    <row r="998" spans="1:89" ht="9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  <c r="BC998" s="126"/>
      <c r="BD998" s="126"/>
      <c r="BE998" s="126"/>
      <c r="BF998" s="126"/>
      <c r="BG998" s="126"/>
      <c r="BH998" s="126"/>
      <c r="BI998" s="126"/>
      <c r="BJ998" s="126"/>
      <c r="BK998" s="126"/>
      <c r="BL998" s="126"/>
      <c r="BM998" s="126"/>
      <c r="BN998" s="126"/>
      <c r="BO998" s="126"/>
      <c r="BP998" s="126"/>
      <c r="BQ998" s="126"/>
      <c r="BR998" s="126"/>
      <c r="BS998" s="126"/>
      <c r="BT998" s="126"/>
      <c r="BU998" s="126"/>
      <c r="BV998" s="126"/>
      <c r="BW998" s="126"/>
      <c r="BX998" s="126"/>
      <c r="BY998" s="126"/>
      <c r="BZ998" s="126"/>
      <c r="CA998" s="126"/>
      <c r="CB998" s="126"/>
      <c r="CC998" s="126"/>
      <c r="CD998" s="126"/>
      <c r="CE998" s="126"/>
      <c r="CF998" s="126"/>
      <c r="CG998" s="126"/>
      <c r="CH998" s="126"/>
      <c r="CI998" s="126"/>
      <c r="CJ998" s="126"/>
      <c r="CK998" s="126"/>
    </row>
    <row r="999" spans="1:89" ht="9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  <c r="BC999" s="126"/>
      <c r="BD999" s="126"/>
      <c r="BE999" s="126"/>
      <c r="BF999" s="126"/>
      <c r="BG999" s="126"/>
      <c r="BH999" s="126"/>
      <c r="BI999" s="126"/>
      <c r="BJ999" s="126"/>
      <c r="BK999" s="126"/>
      <c r="BL999" s="126"/>
      <c r="BM999" s="126"/>
      <c r="BN999" s="126"/>
      <c r="BO999" s="126"/>
      <c r="BP999" s="126"/>
      <c r="BQ999" s="126"/>
      <c r="BR999" s="126"/>
      <c r="BS999" s="126"/>
      <c r="BT999" s="126"/>
      <c r="BU999" s="126"/>
      <c r="BV999" s="126"/>
      <c r="BW999" s="126"/>
      <c r="BX999" s="126"/>
      <c r="BY999" s="126"/>
      <c r="BZ999" s="126"/>
      <c r="CA999" s="126"/>
      <c r="CB999" s="126"/>
      <c r="CC999" s="126"/>
      <c r="CD999" s="126"/>
      <c r="CE999" s="126"/>
      <c r="CF999" s="126"/>
      <c r="CG999" s="126"/>
      <c r="CH999" s="126"/>
      <c r="CI999" s="126"/>
      <c r="CJ999" s="126"/>
      <c r="CK999" s="126"/>
    </row>
    <row r="1000" spans="1:89" ht="9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  <c r="BC1000" s="126"/>
      <c r="BD1000" s="126"/>
      <c r="BE1000" s="126"/>
      <c r="BF1000" s="126"/>
      <c r="BG1000" s="126"/>
      <c r="BH1000" s="126"/>
      <c r="BI1000" s="126"/>
      <c r="BJ1000" s="126"/>
      <c r="BK1000" s="126"/>
      <c r="BL1000" s="126"/>
      <c r="BM1000" s="126"/>
      <c r="BN1000" s="126"/>
      <c r="BO1000" s="126"/>
      <c r="BP1000" s="126"/>
      <c r="BQ1000" s="126"/>
      <c r="BR1000" s="126"/>
      <c r="BS1000" s="126"/>
      <c r="BT1000" s="126"/>
      <c r="BU1000" s="126"/>
      <c r="BV1000" s="126"/>
      <c r="BW1000" s="126"/>
      <c r="BX1000" s="126"/>
      <c r="BY1000" s="126"/>
      <c r="BZ1000" s="126"/>
      <c r="CA1000" s="126"/>
      <c r="CB1000" s="126"/>
      <c r="CC1000" s="126"/>
      <c r="CD1000" s="126"/>
      <c r="CE1000" s="126"/>
      <c r="CF1000" s="126"/>
      <c r="CG1000" s="126"/>
      <c r="CH1000" s="126"/>
      <c r="CI1000" s="126"/>
      <c r="CJ1000" s="126"/>
      <c r="CK1000" s="126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</vt:i4>
      </vt:variant>
    </vt:vector>
  </HeadingPairs>
  <TitlesOfParts>
    <vt:vector size="7" baseType="lpstr">
      <vt:lpstr>Construction and Materials</vt:lpstr>
      <vt:lpstr>Use Phase</vt:lpstr>
      <vt:lpstr>Results</vt:lpstr>
      <vt:lpstr>Cogen Data</vt:lpstr>
      <vt:lpstr>LCA Data</vt:lpstr>
      <vt:lpstr>Lists</vt:lpstr>
      <vt:lpstr>Assemblies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</dc:creator>
  <cp:lastModifiedBy>Amelia Wiśniowska (aw302214)</cp:lastModifiedBy>
  <dcterms:created xsi:type="dcterms:W3CDTF">2012-10-31T21:11:30Z</dcterms:created>
  <dcterms:modified xsi:type="dcterms:W3CDTF">2026-05-05T16:59:50Z</dcterms:modified>
</cp:coreProperties>
</file>